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1ca22f999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_MASTER" sheetId="1" r:id="R25123244768d4446"/>
    <x:sheet xmlns:r="http://schemas.openxmlformats.org/officeDocument/2006/relationships" name="VARIAN_STOK" sheetId="2" r:id="Rbc887423ce1c45cf"/>
    <x:sheet xmlns:r="http://schemas.openxmlformats.org/officeDocument/2006/relationships" name="BRAND_MASTER" sheetId="3" r:id="Rac21c2f11ddd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p&quot; #,##0"/>
    <x:numFmt numFmtId="201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0755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3C"/>
      </x:patternFill>
    </x:fill>
    <x:fill>
      <x:patternFill patternType="solid">
        <x:fgColor rgb="FFFFF7BF"/>
      </x:patternFill>
    </x:fill>
    <x:fill>
      <x:patternFill patternType="solid">
        <x:fgColor rgb="FFE8F4EC"/>
      </x:patternFill>
    </x:fill>
  </x:fills>
  <x:borders count="24">
    <x:border/>
    <x:border/>
    <x:border>
      <x:left style="thin">
        <x:color rgb="FF07552E"/>
      </x:left>
      <x:top style="thin">
        <x:color rgb="FF07552E"/>
      </x:top>
      <x:bottom style="thin">
        <x:color rgb="FF07552E"/>
      </x:bottom>
    </x:border>
    <x:border>
      <x:top style="thin">
        <x:color rgb="FF07552E"/>
      </x:top>
      <x:bottom style="thin">
        <x:color rgb="FF07552E"/>
      </x:bottom>
    </x:border>
    <x:border>
      <x:right style="thin">
        <x:color rgb="FF07552E"/>
      </x:right>
      <x:top style="thin">
        <x:color rgb="FF07552E"/>
      </x:top>
      <x:bottom style="thin">
        <x:color rgb="FF07552E"/>
      </x:bottom>
    </x:border>
    <x:border>
      <x:left style="thin">
        <x:color rgb="FF07552E"/>
      </x:left>
      <x:top style="thin">
        <x:color rgb="FF07552E"/>
      </x:top>
      <x:bottom style="thin">
        <x:color rgb="FF07552E"/>
      </x:bottom>
    </x:border>
    <x:border>
      <x:top style="thin">
        <x:color rgb="FF07552E"/>
      </x:top>
      <x:bottom style="thin">
        <x:color rgb="FF07552E"/>
      </x:bottom>
    </x:border>
    <x:border>
      <x:right style="thin">
        <x:color rgb="FF07552E"/>
      </x:right>
      <x:top style="thin">
        <x:color rgb="FF07552E"/>
      </x:top>
      <x:bottom style="thin">
        <x:color rgb="FF07552E"/>
      </x:bottom>
    </x:border>
    <x:border>
      <x:left style="hair">
        <x:color rgb="FFD8DED9"/>
      </x:left>
      <x:top style="hair">
        <x:color rgb="FFD8DED9"/>
      </x:top>
    </x:border>
    <x:border>
      <x:top style="hair">
        <x:color rgb="FFD8DED9"/>
      </x:top>
    </x:border>
    <x:border>
      <x:right style="hair">
        <x:color rgb="FFD8DED9"/>
      </x:right>
      <x:top style="hair">
        <x:color rgb="FFD8DED9"/>
      </x:top>
    </x:border>
    <x:border>
      <x:left style="hair">
        <x:color rgb="FFD8DED9"/>
      </x:left>
    </x:border>
    <x:border>
      <x:right style="hair">
        <x:color rgb="FFD8DED9"/>
      </x:right>
    </x:border>
    <x:border>
      <x:left style="hair">
        <x:color rgb="FFD8DED9"/>
      </x:left>
      <x:bottom style="hair">
        <x:color rgb="FFD8DED9"/>
      </x:bottom>
    </x:border>
    <x:border>
      <x:bottom style="hair">
        <x:color rgb="FFD8DED9"/>
      </x:bottom>
    </x:border>
    <x:border>
      <x:right style="hair">
        <x:color rgb="FFD8DED9"/>
      </x:right>
      <x:bottom style="hair">
        <x:color rgb="FFD8DED9"/>
      </x:bottom>
    </x:border>
    <x:border>
      <x:left style="hair">
        <x:color rgb="FFD8DED9"/>
      </x:left>
      <x:top style="hair">
        <x:color rgb="FFD8DED9"/>
      </x:top>
    </x:border>
    <x:border>
      <x:top style="hair">
        <x:color rgb="FFD8DED9"/>
      </x:top>
    </x:border>
    <x:border>
      <x:right style="hair">
        <x:color rgb="FFD8DED9"/>
      </x:right>
      <x:top style="hair">
        <x:color rgb="FFD8DED9"/>
      </x:top>
    </x:border>
    <x:border>
      <x:left style="hair">
        <x:color rgb="FFD8DED9"/>
      </x:left>
    </x:border>
    <x:border>
      <x:right style="hair">
        <x:color rgb="FFD8DED9"/>
      </x:right>
    </x:border>
    <x:border>
      <x:left style="hair">
        <x:color rgb="FFD8DED9"/>
      </x:left>
      <x:bottom style="hair">
        <x:color rgb="FFD8DED9"/>
      </x:bottom>
    </x:border>
    <x:border>
      <x:bottom style="hair">
        <x:color rgb="FFD8DED9"/>
      </x:bottom>
    </x:border>
    <x:border>
      <x:right style="hair">
        <x:color rgb="FFD8DED9"/>
      </x:right>
      <x:bottom style="hair">
        <x:color rgb="FFD8DED9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2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7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6100"/>
      </x:font>
      <x:fill>
        <x:patternFill patternType="solid">
          <x:bgColor rgb="FFFFF3CD"/>
        </x:patternFill>
      </x:fill>
    </x:dxf>
    <x:dxf>
      <x:font>
        <x:b/>
        <x:color rgb="FF176B3A"/>
      </x:font>
      <x:fill>
        <x:patternFill patternType="solid">
          <x:bgColor rgb="FFDFF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21da57d614a96" /><Relationship Type="http://schemas.openxmlformats.org/officeDocument/2006/relationships/theme" Target="/xl/theme/theme1.xml" Id="Ra20a7144e61245ef" /><Relationship Type="http://schemas.openxmlformats.org/officeDocument/2006/relationships/sharedStrings" Target="/xl/sharedStrings.xml" Id="R2c43b6f736b644ac" /><Relationship Type="http://schemas.openxmlformats.org/officeDocument/2006/relationships/worksheet" Target="/xl/worksheets/sheet1.xml" Id="R25123244768d4446" /><Relationship Type="http://schemas.openxmlformats.org/officeDocument/2006/relationships/worksheet" Target="/xl/worksheets/sheet2.xml" Id="Rbc887423ce1c45cf" /><Relationship Type="http://schemas.openxmlformats.org/officeDocument/2006/relationships/worksheet" Target="/xl/worksheets/sheet3.xml" Id="Rac21c2f11ddd4549" /></Relationships>
</file>

<file path=xl/tables/table1.xml><?xml version="1.0" encoding="utf-8"?>
<x:table xmlns:x="http://schemas.openxmlformats.org/spreadsheetml/2006/main" id="1" name="ProdukMasterTable" displayName="ProdukMasterTable" ref="A1:X167" headerRowCount="1">
  <x:tableColumns count="24">
    <x:tableColumn id="1" name="ID_PRODUK"/>
    <x:tableColumn id="2" name="SLUG_PRODUK"/>
    <x:tableColumn id="3" name="KODE_BRAND"/>
    <x:tableColumn id="4" name="BRAND"/>
    <x:tableColumn id="5" name="NAMA_PRODUK"/>
    <x:tableColumn id="6" name="KATEGORI"/>
    <x:tableColumn id="7" name="SEGMEN"/>
    <x:tableColumn id="8" name="KONDISI"/>
    <x:tableColumn id="9" name="HARGA_MIN"/>
    <x:tableColumn id="10" name="HARGA_MAX"/>
    <x:tableColumn id="11" name="TOTAL_STOK"/>
    <x:tableColumn id="12" name="JUMLAH_VARIAN"/>
    <x:tableColumn id="13" name="WARNA_TERSEDIA"/>
    <x:tableColumn id="14" name="UKURAN_TERSEDIA"/>
    <x:tableColumn id="15" name="BAHAN"/>
    <x:tableColumn id="16" name="DESKRIPSI"/>
    <x:tableColumn id="17" name="FOTO_UTAMA"/>
    <x:tableColumn id="18" name="FOTO_2"/>
    <x:tableColumn id="19" name="FOTO_3"/>
    <x:tableColumn id="20" name="URL_VIDEO"/>
    <x:tableColumn id="21" name="PRODUK_BARU"/>
    <x:tableColumn id="22" name="PRODUK_PILIHAN"/>
    <x:tableColumn id="23" name="STATUS_TAYANG"/>
    <x:tableColumn id="24" name="CATATAN"/>
  </x:tableColumns>
  <x:tableStyleInfo name="TableStyleMedium2" showRowStripes="1"/>
</x:table>
</file>

<file path=xl/tables/table2.xml><?xml version="1.0" encoding="utf-8"?>
<x:table xmlns:x="http://schemas.openxmlformats.org/spreadsheetml/2006/main" id="2" name="VarianStokTable" displayName="VarianStokTable" ref="A1:M333" headerRowCount="1">
  <x:tableColumns count="13">
    <x:tableColumn id="1" name="SKU"/>
    <x:tableColumn id="2" name="KODE_BRAND"/>
    <x:tableColumn id="3" name="BRAND"/>
    <x:tableColumn id="4" name="ID_PRODUK"/>
    <x:tableColumn id="5" name="NAMA_BARANG_ASLI"/>
    <x:tableColumn id="6" name="WARNA_MOTIF"/>
    <x:tableColumn id="7" name="UKURAN"/>
    <x:tableColumn id="8" name="HARGA"/>
    <x:tableColumn id="9" name="STOK"/>
    <x:tableColumn id="10" name="STATUS_STOK"/>
    <x:tableColumn id="11" name="KATEGORI"/>
    <x:tableColumn id="12" name="STATUS_TAYANG"/>
    <x:tableColumn id="13" name="CATATAN"/>
  </x:tableColumns>
  <x:tableStyleInfo name="TableStyleMedium2" showRowStripes="1"/>
</x:table>
</file>

<file path=xl/tables/table3.xml><?xml version="1.0" encoding="utf-8"?>
<x:table xmlns:x="http://schemas.openxmlformats.org/spreadsheetml/2006/main" id="3" name="BrandMasterTable" displayName="BrandMasterTable" ref="A1:K23" headerRowCount="1">
  <x:tableColumns count="11">
    <x:tableColumn id="1" name="KODE_BRAND"/>
    <x:tableColumn id="2" name="NAMA_BRAND"/>
    <x:tableColumn id="3" name="JUMLAH_PRODUK"/>
    <x:tableColumn id="4" name="JUMLAH_SKU"/>
    <x:tableColumn id="5" name="TOTAL_STOK"/>
    <x:tableColumn id="6" name="STATUS_DATA"/>
    <x:tableColumn id="7" name="LOGO_BRAND"/>
    <x:tableColumn id="8" name="INSTAGRAM_BRAND"/>
    <x:tableColumn id="9" name="DESKRIPSI"/>
    <x:tableColumn id="10" name="STATUS_TAYANG"/>
    <x:tableColumn id="11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1e55556fbb47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1308be15fb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6ad38b39724d5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2" hidden="0" customWidth="1"/>
    <x:col min="4" max="4" width="22" hidden="0" customWidth="1"/>
    <x:col min="5" max="5" width="32" hidden="0" customWidth="1"/>
    <x:col min="6" max="6" width="14" hidden="0" customWidth="1"/>
    <x:col min="7" max="7" width="11" hidden="0" customWidth="1"/>
    <x:col min="8" max="8" width="12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32" hidden="0" customWidth="1"/>
    <x:col min="14" max="14" width="32" hidden="0" customWidth="1"/>
    <x:col min="15" max="15" width="20" hidden="0" customWidth="1"/>
    <x:col min="16" max="16" width="4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16" hidden="0" customWidth="1"/>
    <x:col min="22" max="22" width="16" hidden="0" customWidth="1"/>
    <x:col min="23" max="23" width="16" hidden="0" customWidth="1"/>
    <x:col min="24" max="24" width="30" hidden="0" customWidth="1"/>
  </x:cols>
  <x:sheetData>
    <x:row r="1" ht="38" customHeight="1">
      <x:c r="A1" s="13" t="str">
        <x:v>ID_PRODUK</x:v>
      </x:c>
      <x:c r="B1" s="14" t="str">
        <x:v>SLUG_PRODUK</x:v>
      </x:c>
      <x:c r="C1" s="14" t="str">
        <x:v>KODE_BRAND</x:v>
      </x:c>
      <x:c r="D1" s="14" t="str">
        <x:v>BRAND</x:v>
      </x:c>
      <x:c r="E1" s="14" t="str">
        <x:v>NAMA_PRODUK</x:v>
      </x:c>
      <x:c r="F1" s="14" t="str">
        <x:v>KATEGORI</x:v>
      </x:c>
      <x:c r="G1" s="14" t="str">
        <x:v>SEGMEN</x:v>
      </x:c>
      <x:c r="H1" s="14" t="str">
        <x:v>KONDISI</x:v>
      </x:c>
      <x:c r="I1" s="14" t="str">
        <x:v>HARGA_MIN</x:v>
      </x:c>
      <x:c r="J1" s="14" t="str">
        <x:v>HARGA_MAX</x:v>
      </x:c>
      <x:c r="K1" s="14" t="str">
        <x:v>TOTAL_STOK</x:v>
      </x:c>
      <x:c r="L1" s="14" t="str">
        <x:v>JUMLAH_VARIAN</x:v>
      </x:c>
      <x:c r="M1" s="14" t="str">
        <x:v>WARNA_TERSEDIA</x:v>
      </x:c>
      <x:c r="N1" s="14" t="str">
        <x:v>UKURAN_TERSEDIA</x:v>
      </x:c>
      <x:c r="O1" s="14" t="str">
        <x:v>BAHAN</x:v>
      </x:c>
      <x:c r="P1" s="14" t="str">
        <x:v>DESKRIPSI</x:v>
      </x:c>
      <x:c r="Q1" s="14" t="str">
        <x:v>FOTO_UTAMA</x:v>
      </x:c>
      <x:c r="R1" s="14" t="str">
        <x:v>FOTO_2</x:v>
      </x:c>
      <x:c r="S1" s="14" t="str">
        <x:v>FOTO_3</x:v>
      </x:c>
      <x:c r="T1" s="14" t="str">
        <x:v>URL_VIDEO</x:v>
      </x:c>
      <x:c r="U1" s="14" t="str">
        <x:v>PRODUK_BARU</x:v>
      </x:c>
      <x:c r="V1" s="14" t="str">
        <x:v>PRODUK_PILIHAN</x:v>
      </x:c>
      <x:c r="W1" s="14" t="str">
        <x:v>STATUS_TAYANG</x:v>
      </x:c>
      <x:c r="X1" s="15" t="str">
        <x:v>CATATAN</x:v>
      </x:c>
    </x:row>
    <x:row r="2">
      <x:c r="A2" s="95" t="str">
        <x:v>PRD0001</x:v>
      </x:c>
      <x:c r="B2" s="66" t="str">
        <x:v>senja-asha-dress-kids</x:v>
      </x:c>
      <x:c r="C2" s="101" t="n">
        <x:v>1</x:v>
      </x:c>
      <x:c r="D2" s="107" t="str">
        <x:v>SENJA</x:v>
      </x:c>
      <x:c r="E2" s="66" t="str">
        <x:v>Asha Dress Kids</x:v>
      </x:c>
      <x:c r="F2" s="66" t="str">
        <x:v>Dress</x:v>
      </x:c>
      <x:c r="G2" s="66" t="str">
        <x:v>Anak</x:v>
      </x:c>
      <x:c r="H2" s="66" t="str">
        <x:v>Baru</x:v>
      </x:c>
      <x:c r="I2" s="83" t="n">
        <x:f>MINIFS(VARIAN_STOK!$H$2:$H$333,VARIAN_STOK!$D$2:$D$333,$A2)</x:f>
        <x:v>319000</x:v>
      </x:c>
      <x:c r="J2" s="83" t="n">
        <x:f>MAXIFS(VARIAN_STOK!$H$2:$H$333,VARIAN_STOK!$D$2:$D$333,$A2)</x:f>
        <x:v>319000</x:v>
      </x:c>
      <x:c r="K2" s="89" t="n">
        <x:f>SUMIF(VARIAN_STOK!$D$2:$D$333,$A2,VARIAN_STOK!$I$2:$I$333)</x:f>
        <x:v>25</x:v>
      </x:c>
      <x:c r="L2" s="89" t="n">
        <x:f>COUNTIF(VARIAN_STOK!$D$2:$D$333,$A2)</x:f>
        <x:v>11</x:v>
      </x:c>
      <x:c r="M2" s="66" t="str">
        <x:v>Coklat, Putih, Salem, Taupe, Ungu</x:v>
      </x:c>
      <x:c r="N2" s="66" t="str">
        <x:v>L, M, S</x:v>
      </x:c>
      <x:c r="O2" s="66" t="str"/>
      <x:c r="P2" s="66" t="str"/>
      <x:c r="Q2" s="66" t="str"/>
      <x:c r="R2" s="66" t="str"/>
      <x:c r="S2" s="66" t="str"/>
      <x:c r="T2" s="66" t="str"/>
      <x:c r="U2" s="66" t="str">
        <x:v>Tidak</x:v>
      </x:c>
      <x:c r="V2" s="66" t="str">
        <x:v>Tidak</x:v>
      </x:c>
      <x:c r="W2" s="66" t="str">
        <x:v>Aktif</x:v>
      </x:c>
      <x:c r="X2" s="67" t="str"/>
    </x:row>
    <x:row r="3">
      <x:c r="A3" s="96" t="str">
        <x:v>PRD0002</x:v>
      </x:c>
      <x:c r="B3" s="69" t="str">
        <x:v>senja-dress-kids-maison-de-serein</x:v>
      </x:c>
      <x:c r="C3" s="102" t="n">
        <x:v>1</x:v>
      </x:c>
      <x:c r="D3" s="108" t="str">
        <x:v>SENJA</x:v>
      </x:c>
      <x:c r="E3" s="69" t="str">
        <x:v>Dress Kids - Maison de Serein</x:v>
      </x:c>
      <x:c r="F3" s="69" t="str">
        <x:v>Dress</x:v>
      </x:c>
      <x:c r="G3" s="69" t="str">
        <x:v>Anak</x:v>
      </x:c>
      <x:c r="H3" s="69" t="str">
        <x:v>Baru</x:v>
      </x:c>
      <x:c r="I3" s="84" t="n">
        <x:f>MINIFS(VARIAN_STOK!$H$2:$H$333,VARIAN_STOK!$D$2:$D$333,$A3)</x:f>
        <x:v>329000</x:v>
      </x:c>
      <x:c r="J3" s="84" t="n">
        <x:f>MAXIFS(VARIAN_STOK!$H$2:$H$333,VARIAN_STOK!$D$2:$D$333,$A3)</x:f>
        <x:v>329000</x:v>
      </x:c>
      <x:c r="K3" s="90" t="n">
        <x:f>SUMIF(VARIAN_STOK!$D$2:$D$333,$A3,VARIAN_STOK!$I$2:$I$333)</x:f>
        <x:v>16</x:v>
      </x:c>
      <x:c r="L3" s="90" t="n">
        <x:f>COUNTIF(VARIAN_STOK!$D$2:$D$333,$A3)</x:f>
        <x:v>6</x:v>
      </x:c>
      <x:c r="M3" s="69" t="str">
        <x:v>Biru Muda, Choco Taupe, Coklat Manis</x:v>
      </x:c>
      <x:c r="N3" s="69" t="str">
        <x:v>L, M, S</x:v>
      </x:c>
      <x:c r="O3" s="69" t="str"/>
      <x:c r="P3" s="69" t="str"/>
      <x:c r="Q3" s="69" t="str"/>
      <x:c r="R3" s="69" t="str"/>
      <x:c r="S3" s="69" t="str"/>
      <x:c r="T3" s="69" t="str"/>
      <x:c r="U3" s="69" t="str">
        <x:v>Tidak</x:v>
      </x:c>
      <x:c r="V3" s="69" t="str">
        <x:v>Tidak</x:v>
      </x:c>
      <x:c r="W3" s="69" t="str">
        <x:v>Aktif</x:v>
      </x:c>
      <x:c r="X3" s="70" t="str"/>
    </x:row>
    <x:row r="4">
      <x:c r="A4" s="96" t="str">
        <x:v>PRD0003</x:v>
      </x:c>
      <x:c r="B4" s="69" t="str">
        <x:v>senja-asha-koko-kids</x:v>
      </x:c>
      <x:c r="C4" s="102" t="n">
        <x:v>1</x:v>
      </x:c>
      <x:c r="D4" s="108" t="str">
        <x:v>SENJA</x:v>
      </x:c>
      <x:c r="E4" s="69" t="str">
        <x:v>Asha Koko Kids</x:v>
      </x:c>
      <x:c r="F4" s="69" t="str">
        <x:v>Shirt</x:v>
      </x:c>
      <x:c r="G4" s="69" t="str">
        <x:v>Anak</x:v>
      </x:c>
      <x:c r="H4" s="69" t="str">
        <x:v>Baru</x:v>
      </x:c>
      <x:c r="I4" s="84" t="n">
        <x:f>MINIFS(VARIAN_STOK!$H$2:$H$333,VARIAN_STOK!$D$2:$D$333,$A4)</x:f>
        <x:v>299000</x:v>
      </x:c>
      <x:c r="J4" s="84" t="n">
        <x:f>MAXIFS(VARIAN_STOK!$H$2:$H$333,VARIAN_STOK!$D$2:$D$333,$A4)</x:f>
        <x:v>299000</x:v>
      </x:c>
      <x:c r="K4" s="90" t="n">
        <x:f>SUMIF(VARIAN_STOK!$D$2:$D$333,$A4,VARIAN_STOK!$I$2:$I$333)</x:f>
        <x:v>39</x:v>
      </x:c>
      <x:c r="L4" s="90" t="n">
        <x:f>COUNTIF(VARIAN_STOK!$D$2:$D$333,$A4)</x:f>
        <x:v>15</x:v>
      </x:c>
      <x:c r="M4" s="69" t="str">
        <x:v>Coklat, Putih, Salem, Taupe, Ungu</x:v>
      </x:c>
      <x:c r="N4" s="69" t="str">
        <x:v>L, M, S</x:v>
      </x:c>
      <x:c r="O4" s="69" t="str"/>
      <x:c r="P4" s="69" t="str"/>
      <x:c r="Q4" s="69" t="str"/>
      <x:c r="R4" s="69" t="str"/>
      <x:c r="S4" s="69" t="str"/>
      <x:c r="T4" s="69" t="str"/>
      <x:c r="U4" s="69" t="str">
        <x:v>Tidak</x:v>
      </x:c>
      <x:c r="V4" s="69" t="str">
        <x:v>Tidak</x:v>
      </x:c>
      <x:c r="W4" s="69" t="str">
        <x:v>Aktif</x:v>
      </x:c>
      <x:c r="X4" s="70" t="str"/>
    </x:row>
    <x:row r="5">
      <x:c r="A5" s="96" t="str">
        <x:v>PRD0004</x:v>
      </x:c>
      <x:c r="B5" s="69" t="str">
        <x:v>senja-shirt-kids-maison-de-serein</x:v>
      </x:c>
      <x:c r="C5" s="102" t="n">
        <x:v>1</x:v>
      </x:c>
      <x:c r="D5" s="108" t="str">
        <x:v>SENJA</x:v>
      </x:c>
      <x:c r="E5" s="69" t="str">
        <x:v>Shirt Kids - Maison de Serein</x:v>
      </x:c>
      <x:c r="F5" s="69" t="str">
        <x:v>Shirt</x:v>
      </x:c>
      <x:c r="G5" s="69" t="str">
        <x:v>Anak</x:v>
      </x:c>
      <x:c r="H5" s="69" t="str">
        <x:v>Baru</x:v>
      </x:c>
      <x:c r="I5" s="84" t="n">
        <x:f>MINIFS(VARIAN_STOK!$H$2:$H$333,VARIAN_STOK!$D$2:$D$333,$A5)</x:f>
        <x:v>329000</x:v>
      </x:c>
      <x:c r="J5" s="84" t="n">
        <x:f>MAXIFS(VARIAN_STOK!$H$2:$H$333,VARIAN_STOK!$D$2:$D$333,$A5)</x:f>
        <x:v>329000</x:v>
      </x:c>
      <x:c r="K5" s="90" t="n">
        <x:f>SUMIF(VARIAN_STOK!$D$2:$D$333,$A5,VARIAN_STOK!$I$2:$I$333)</x:f>
        <x:v>10</x:v>
      </x:c>
      <x:c r="L5" s="90" t="n">
        <x:f>COUNTIF(VARIAN_STOK!$D$2:$D$333,$A5)</x:f>
        <x:v>5</x:v>
      </x:c>
      <x:c r="M5" s="69" t="str">
        <x:v>Biru Muda, Choco Taupe</x:v>
      </x:c>
      <x:c r="N5" s="69" t="str">
        <x:v>L, M, S</x:v>
      </x:c>
      <x:c r="O5" s="69" t="str"/>
      <x:c r="P5" s="69" t="str"/>
      <x:c r="Q5" s="69" t="str"/>
      <x:c r="R5" s="69" t="str"/>
      <x:c r="S5" s="69" t="str"/>
      <x:c r="T5" s="69" t="str"/>
      <x:c r="U5" s="69" t="str">
        <x:v>Tidak</x:v>
      </x:c>
      <x:c r="V5" s="69" t="str">
        <x:v>Tidak</x:v>
      </x:c>
      <x:c r="W5" s="69" t="str">
        <x:v>Aktif</x:v>
      </x:c>
      <x:c r="X5" s="70" t="str"/>
    </x:row>
    <x:row r="6">
      <x:c r="A6" s="96" t="str">
        <x:v>PRD0005</x:v>
      </x:c>
      <x:c r="B6" s="69" t="str">
        <x:v>doa-claire-signature-brooch</x:v>
      </x:c>
      <x:c r="C6" s="102" t="n">
        <x:v>2</x:v>
      </x:c>
      <x:c r="D6" s="108" t="str">
        <x:v>DOA</x:v>
      </x:c>
      <x:c r="E6" s="69" t="str">
        <x:v>Claire Signature Brooch</x:v>
      </x:c>
      <x:c r="F6" s="69" t="str">
        <x:v>Aksesoris</x:v>
      </x:c>
      <x:c r="G6" s="69" t="str">
        <x:v>Dewasa</x:v>
      </x:c>
      <x:c r="H6" s="69" t="str">
        <x:v>Baru</x:v>
      </x:c>
      <x:c r="I6" s="84" t="n">
        <x:f>MINIFS(VARIAN_STOK!$H$2:$H$333,VARIAN_STOK!$D$2:$D$333,$A6)</x:f>
        <x:v>385000</x:v>
      </x:c>
      <x:c r="J6" s="84" t="n">
        <x:f>MAXIFS(VARIAN_STOK!$H$2:$H$333,VARIAN_STOK!$D$2:$D$333,$A6)</x:f>
        <x:v>385000</x:v>
      </x:c>
      <x:c r="K6" s="90" t="n">
        <x:f>SUMIF(VARIAN_STOK!$D$2:$D$333,$A6,VARIAN_STOK!$I$2:$I$333)</x:f>
        <x:v>4</x:v>
      </x:c>
      <x:c r="L6" s="90" t="n">
        <x:f>COUNTIF(VARIAN_STOK!$D$2:$D$333,$A6)</x:f>
        <x:v>2</x:v>
      </x:c>
      <x:c r="M6" s="69" t="str">
        <x:v>Gold, Rose Gold</x:v>
      </x:c>
      <x:c r="N6" s="69" t="str"/>
      <x:c r="O6" s="69" t="str"/>
      <x:c r="P6" s="69" t="str"/>
      <x:c r="Q6" s="69" t="str"/>
      <x:c r="R6" s="69" t="str"/>
      <x:c r="S6" s="69" t="str"/>
      <x:c r="T6" s="69" t="str"/>
      <x:c r="U6" s="69" t="str">
        <x:v>Tidak</x:v>
      </x:c>
      <x:c r="V6" s="69" t="str">
        <x:v>Tidak</x:v>
      </x:c>
      <x:c r="W6" s="69" t="str">
        <x:v>Aktif</x:v>
      </x:c>
      <x:c r="X6" s="70" t="str"/>
    </x:row>
    <x:row r="7">
      <x:c r="A7" s="96" t="str">
        <x:v>PRD0006</x:v>
      </x:c>
      <x:c r="B7" s="69" t="str">
        <x:v>doa-elaine-signature-brooch</x:v>
      </x:c>
      <x:c r="C7" s="102" t="n">
        <x:v>2</x:v>
      </x:c>
      <x:c r="D7" s="108" t="str">
        <x:v>DOA</x:v>
      </x:c>
      <x:c r="E7" s="69" t="str">
        <x:v>Elaine Signature Brooch</x:v>
      </x:c>
      <x:c r="F7" s="69" t="str">
        <x:v>Aksesoris</x:v>
      </x:c>
      <x:c r="G7" s="69" t="str">
        <x:v>Dewasa</x:v>
      </x:c>
      <x:c r="H7" s="69" t="str">
        <x:v>Baru</x:v>
      </x:c>
      <x:c r="I7" s="84" t="n">
        <x:f>MINIFS(VARIAN_STOK!$H$2:$H$333,VARIAN_STOK!$D$2:$D$333,$A7)</x:f>
        <x:v>385000</x:v>
      </x:c>
      <x:c r="J7" s="84" t="n">
        <x:f>MAXIFS(VARIAN_STOK!$H$2:$H$333,VARIAN_STOK!$D$2:$D$333,$A7)</x:f>
        <x:v>385000</x:v>
      </x:c>
      <x:c r="K7" s="90" t="n">
        <x:f>SUMIF(VARIAN_STOK!$D$2:$D$333,$A7,VARIAN_STOK!$I$2:$I$333)</x:f>
        <x:v>1</x:v>
      </x:c>
      <x:c r="L7" s="90" t="n">
        <x:f>COUNTIF(VARIAN_STOK!$D$2:$D$333,$A7)</x:f>
        <x:v>1</x:v>
      </x:c>
      <x:c r="M7" s="69" t="str">
        <x:v>Gold</x:v>
      </x:c>
      <x:c r="N7" s="69" t="str"/>
      <x:c r="O7" s="69" t="str"/>
      <x:c r="P7" s="69" t="str"/>
      <x:c r="Q7" s="69" t="str"/>
      <x:c r="R7" s="69" t="str"/>
      <x:c r="S7" s="69" t="str"/>
      <x:c r="T7" s="69" t="str"/>
      <x:c r="U7" s="69" t="str">
        <x:v>Tidak</x:v>
      </x:c>
      <x:c r="V7" s="69" t="str">
        <x:v>Tidak</x:v>
      </x:c>
      <x:c r="W7" s="69" t="str">
        <x:v>Aktif</x:v>
      </x:c>
      <x:c r="X7" s="70" t="str"/>
    </x:row>
    <x:row r="8">
      <x:c r="A8" s="96" t="str">
        <x:v>PRD0007</x:v>
      </x:c>
      <x:c r="B8" s="69" t="str">
        <x:v>doa-abelia-dress</x:v>
      </x:c>
      <x:c r="C8" s="102" t="n">
        <x:v>2</x:v>
      </x:c>
      <x:c r="D8" s="108" t="str">
        <x:v>DOA</x:v>
      </x:c>
      <x:c r="E8" s="69" t="str">
        <x:v>Abelia Dress</x:v>
      </x:c>
      <x:c r="F8" s="69" t="str">
        <x:v>Dress</x:v>
      </x:c>
      <x:c r="G8" s="69" t="str">
        <x:v>Dewasa</x:v>
      </x:c>
      <x:c r="H8" s="69" t="str">
        <x:v>Baru</x:v>
      </x:c>
      <x:c r="I8" s="84" t="n">
        <x:f>MINIFS(VARIAN_STOK!$H$2:$H$333,VARIAN_STOK!$D$2:$D$333,$A8)</x:f>
        <x:v>1095000</x:v>
      </x:c>
      <x:c r="J8" s="84" t="n">
        <x:f>MAXIFS(VARIAN_STOK!$H$2:$H$333,VARIAN_STOK!$D$2:$D$333,$A8)</x:f>
        <x:v>1095000</x:v>
      </x:c>
      <x:c r="K8" s="90" t="n">
        <x:f>SUMIF(VARIAN_STOK!$D$2:$D$333,$A8,VARIAN_STOK!$I$2:$I$333)</x:f>
        <x:v>3</x:v>
      </x:c>
      <x:c r="L8" s="90" t="n">
        <x:f>COUNTIF(VARIAN_STOK!$D$2:$D$333,$A8)</x:f>
        <x:v>2</x:v>
      </x:c>
      <x:c r="M8" s="69" t="str">
        <x:v>Trombone</x:v>
      </x:c>
      <x:c r="N8" s="69" t="str">
        <x:v>L-XL, S-M</x:v>
      </x:c>
      <x:c r="O8" s="69" t="str"/>
      <x:c r="P8" s="69" t="str"/>
      <x:c r="Q8" s="69" t="str"/>
      <x:c r="R8" s="69" t="str"/>
      <x:c r="S8" s="69" t="str"/>
      <x:c r="T8" s="69" t="str"/>
      <x:c r="U8" s="69" t="str">
        <x:v>Tidak</x:v>
      </x:c>
      <x:c r="V8" s="69" t="str">
        <x:v>Tidak</x:v>
      </x:c>
      <x:c r="W8" s="69" t="str">
        <x:v>Aktif</x:v>
      </x:c>
      <x:c r="X8" s="70" t="str"/>
    </x:row>
    <x:row r="9">
      <x:c r="A9" s="96" t="str">
        <x:v>PRD0008</x:v>
      </x:c>
      <x:c r="B9" s="69" t="str">
        <x:v>doa-gaenaree-dress</x:v>
      </x:c>
      <x:c r="C9" s="102" t="n">
        <x:v>2</x:v>
      </x:c>
      <x:c r="D9" s="108" t="str">
        <x:v>DOA</x:v>
      </x:c>
      <x:c r="E9" s="69" t="str">
        <x:v>Gaenaree Dress</x:v>
      </x:c>
      <x:c r="F9" s="69" t="str">
        <x:v>Dress</x:v>
      </x:c>
      <x:c r="G9" s="69" t="str">
        <x:v>Dewasa</x:v>
      </x:c>
      <x:c r="H9" s="69" t="str">
        <x:v>Baru</x:v>
      </x:c>
      <x:c r="I9" s="84" t="n">
        <x:f>MINIFS(VARIAN_STOK!$H$2:$H$333,VARIAN_STOK!$D$2:$D$333,$A9)</x:f>
        <x:v>1095000</x:v>
      </x:c>
      <x:c r="J9" s="84" t="n">
        <x:f>MAXIFS(VARIAN_STOK!$H$2:$H$333,VARIAN_STOK!$D$2:$D$333,$A9)</x:f>
        <x:v>1095000</x:v>
      </x:c>
      <x:c r="K9" s="90" t="n">
        <x:f>SUMIF(VARIAN_STOK!$D$2:$D$333,$A9,VARIAN_STOK!$I$2:$I$333)</x:f>
        <x:v>3</x:v>
      </x:c>
      <x:c r="L9" s="90" t="n">
        <x:f>COUNTIF(VARIAN_STOK!$D$2:$D$333,$A9)</x:f>
        <x:v>3</x:v>
      </x:c>
      <x:c r="M9" s="69" t="str">
        <x:v>Pink, Taupe</x:v>
      </x:c>
      <x:c r="N9" s="69" t="str">
        <x:v>L-XL, S-M</x:v>
      </x:c>
      <x:c r="O9" s="69" t="str"/>
      <x:c r="P9" s="69" t="str"/>
      <x:c r="Q9" s="69" t="str"/>
      <x:c r="R9" s="69" t="str"/>
      <x:c r="S9" s="69" t="str"/>
      <x:c r="T9" s="69" t="str"/>
      <x:c r="U9" s="69" t="str">
        <x:v>Tidak</x:v>
      </x:c>
      <x:c r="V9" s="69" t="str">
        <x:v>Tidak</x:v>
      </x:c>
      <x:c r="W9" s="69" t="str">
        <x:v>Aktif</x:v>
      </x:c>
      <x:c r="X9" s="70" t="str"/>
    </x:row>
    <x:row r="10">
      <x:c r="A10" s="96" t="str">
        <x:v>PRD0009</x:v>
      </x:c>
      <x:c r="B10" s="69" t="str">
        <x:v>doa-gasteria-dress</x:v>
      </x:c>
      <x:c r="C10" s="102" t="n">
        <x:v>2</x:v>
      </x:c>
      <x:c r="D10" s="108" t="str">
        <x:v>DOA</x:v>
      </x:c>
      <x:c r="E10" s="69" t="str">
        <x:v>Gasteria Dress</x:v>
      </x:c>
      <x:c r="F10" s="69" t="str">
        <x:v>Dress</x:v>
      </x:c>
      <x:c r="G10" s="69" t="str">
        <x:v>Dewasa</x:v>
      </x:c>
      <x:c r="H10" s="69" t="str">
        <x:v>Baru</x:v>
      </x:c>
      <x:c r="I10" s="84" t="n">
        <x:f>MINIFS(VARIAN_STOK!$H$2:$H$333,VARIAN_STOK!$D$2:$D$333,$A10)</x:f>
        <x:v>1145000</x:v>
      </x:c>
      <x:c r="J10" s="84" t="n">
        <x:f>MAXIFS(VARIAN_STOK!$H$2:$H$333,VARIAN_STOK!$D$2:$D$333,$A10)</x:f>
        <x:v>1145000</x:v>
      </x:c>
      <x:c r="K10" s="90" t="n">
        <x:f>SUMIF(VARIAN_STOK!$D$2:$D$333,$A10,VARIAN_STOK!$I$2:$I$333)</x:f>
        <x:v>2</x:v>
      </x:c>
      <x:c r="L10" s="90" t="n">
        <x:f>COUNTIF(VARIAN_STOK!$D$2:$D$333,$A10)</x:f>
        <x:v>1</x:v>
      </x:c>
      <x:c r="M10" s="69" t="str">
        <x:v>Olive</x:v>
      </x:c>
      <x:c r="N10" s="69" t="str">
        <x:v>L-XL</x:v>
      </x:c>
      <x:c r="O10" s="69" t="str"/>
      <x:c r="P10" s="69" t="str"/>
      <x:c r="Q10" s="69" t="str"/>
      <x:c r="R10" s="69" t="str"/>
      <x:c r="S10" s="69" t="str"/>
      <x:c r="T10" s="69" t="str"/>
      <x:c r="U10" s="69" t="str">
        <x:v>Tidak</x:v>
      </x:c>
      <x:c r="V10" s="69" t="str">
        <x:v>Tidak</x:v>
      </x:c>
      <x:c r="W10" s="69" t="str">
        <x:v>Aktif</x:v>
      </x:c>
      <x:c r="X10" s="70" t="str"/>
    </x:row>
    <x:row r="11">
      <x:c r="A11" s="96" t="str">
        <x:v>PRD0010</x:v>
      </x:c>
      <x:c r="B11" s="69" t="str">
        <x:v>doa-shahnaz-dress-kids</x:v>
      </x:c>
      <x:c r="C11" s="102" t="n">
        <x:v>2</x:v>
      </x:c>
      <x:c r="D11" s="108" t="str">
        <x:v>DOA</x:v>
      </x:c>
      <x:c r="E11" s="69" t="str">
        <x:v>Shahnaz Dress Kids</x:v>
      </x:c>
      <x:c r="F11" s="69" t="str">
        <x:v>Dress</x:v>
      </x:c>
      <x:c r="G11" s="69" t="str">
        <x:v>Anak</x:v>
      </x:c>
      <x:c r="H11" s="69" t="str">
        <x:v>Baru</x:v>
      </x:c>
      <x:c r="I11" s="84" t="n">
        <x:f>MINIFS(VARIAN_STOK!$H$2:$H$333,VARIAN_STOK!$D$2:$D$333,$A11)</x:f>
        <x:v>650000</x:v>
      </x:c>
      <x:c r="J11" s="84" t="n">
        <x:f>MAXIFS(VARIAN_STOK!$H$2:$H$333,VARIAN_STOK!$D$2:$D$333,$A11)</x:f>
        <x:v>650000</x:v>
      </x:c>
      <x:c r="K11" s="90" t="n">
        <x:f>SUMIF(VARIAN_STOK!$D$2:$D$333,$A11,VARIAN_STOK!$I$2:$I$333)</x:f>
        <x:v>7</x:v>
      </x:c>
      <x:c r="L11" s="90" t="n">
        <x:f>COUNTIF(VARIAN_STOK!$D$2:$D$333,$A11)</x:f>
        <x:v>3</x:v>
      </x:c>
      <x:c r="M11" s="69" t="str"/>
      <x:c r="N11" s="69" t="str">
        <x:v>3-4, 5-6, 7-8</x:v>
      </x:c>
      <x:c r="O11" s="69" t="str"/>
      <x:c r="P11" s="69" t="str"/>
      <x:c r="Q11" s="69" t="str"/>
      <x:c r="R11" s="69" t="str"/>
      <x:c r="S11" s="69" t="str"/>
      <x:c r="T11" s="69" t="str"/>
      <x:c r="U11" s="69" t="str">
        <x:v>Tidak</x:v>
      </x:c>
      <x:c r="V11" s="69" t="str">
        <x:v>Tidak</x:v>
      </x:c>
      <x:c r="W11" s="69" t="str">
        <x:v>Aktif</x:v>
      </x:c>
      <x:c r="X11" s="70" t="str"/>
    </x:row>
    <x:row r="12">
      <x:c r="A12" s="96" t="str">
        <x:v>PRD0011</x:v>
      </x:c>
      <x:c r="B12" s="69" t="str">
        <x:v>doa-syahira-dress</x:v>
      </x:c>
      <x:c r="C12" s="102" t="n">
        <x:v>2</x:v>
      </x:c>
      <x:c r="D12" s="108" t="str">
        <x:v>DOA</x:v>
      </x:c>
      <x:c r="E12" s="69" t="str">
        <x:v>Syahira Dress</x:v>
      </x:c>
      <x:c r="F12" s="69" t="str">
        <x:v>Dress</x:v>
      </x:c>
      <x:c r="G12" s="69" t="str">
        <x:v>Dewasa</x:v>
      </x:c>
      <x:c r="H12" s="69" t="str">
        <x:v>Baru</x:v>
      </x:c>
      <x:c r="I12" s="84" t="n">
        <x:f>MINIFS(VARIAN_STOK!$H$2:$H$333,VARIAN_STOK!$D$2:$D$333,$A12)</x:f>
        <x:v>1025000</x:v>
      </x:c>
      <x:c r="J12" s="84" t="n">
        <x:f>MAXIFS(VARIAN_STOK!$H$2:$H$333,VARIAN_STOK!$D$2:$D$333,$A12)</x:f>
        <x:v>1025000</x:v>
      </x:c>
      <x:c r="K12" s="90" t="n">
        <x:f>SUMIF(VARIAN_STOK!$D$2:$D$333,$A12,VARIAN_STOK!$I$2:$I$333)</x:f>
        <x:v>1</x:v>
      </x:c>
      <x:c r="L12" s="90" t="n">
        <x:f>COUNTIF(VARIAN_STOK!$D$2:$D$333,$A12)</x:f>
        <x:v>1</x:v>
      </x:c>
      <x:c r="M12" s="69" t="str"/>
      <x:c r="N12" s="69" t="str">
        <x:v>L-XL</x:v>
      </x:c>
      <x:c r="O12" s="69" t="str"/>
      <x:c r="P12" s="69" t="str"/>
      <x:c r="Q12" s="69" t="str"/>
      <x:c r="R12" s="69" t="str"/>
      <x:c r="S12" s="69" t="str"/>
      <x:c r="T12" s="69" t="str"/>
      <x:c r="U12" s="69" t="str">
        <x:v>Tidak</x:v>
      </x:c>
      <x:c r="V12" s="69" t="str">
        <x:v>Tidak</x:v>
      </x:c>
      <x:c r="W12" s="69" t="str">
        <x:v>Aktif</x:v>
      </x:c>
      <x:c r="X12" s="70" t="str"/>
    </x:row>
    <x:row r="13">
      <x:c r="A13" s="96" t="str">
        <x:v>PRD0012</x:v>
      </x:c>
      <x:c r="B13" s="69" t="str">
        <x:v>doa-ghina-outer</x:v>
      </x:c>
      <x:c r="C13" s="102" t="n">
        <x:v>2</x:v>
      </x:c>
      <x:c r="D13" s="108" t="str">
        <x:v>DOA</x:v>
      </x:c>
      <x:c r="E13" s="69" t="str">
        <x:v>Ghina Outer</x:v>
      </x:c>
      <x:c r="F13" s="69" t="str">
        <x:v>Outer</x:v>
      </x:c>
      <x:c r="G13" s="69" t="str">
        <x:v>Dewasa</x:v>
      </x:c>
      <x:c r="H13" s="69" t="str">
        <x:v>Baru</x:v>
      </x:c>
      <x:c r="I13" s="84" t="n">
        <x:f>MINIFS(VARIAN_STOK!$H$2:$H$333,VARIAN_STOK!$D$2:$D$333,$A13)</x:f>
        <x:v>825000</x:v>
      </x:c>
      <x:c r="J13" s="84" t="n">
        <x:f>MAXIFS(VARIAN_STOK!$H$2:$H$333,VARIAN_STOK!$D$2:$D$333,$A13)</x:f>
        <x:v>825000</x:v>
      </x:c>
      <x:c r="K13" s="90" t="n">
        <x:f>SUMIF(VARIAN_STOK!$D$2:$D$333,$A13,VARIAN_STOK!$I$2:$I$333)</x:f>
        <x:v>1</x:v>
      </x:c>
      <x:c r="L13" s="90" t="n">
        <x:f>COUNTIF(VARIAN_STOK!$D$2:$D$333,$A13)</x:f>
        <x:v>1</x:v>
      </x:c>
      <x:c r="M13" s="69" t="str">
        <x:v>Peach</x:v>
      </x:c>
      <x:c r="N13" s="69" t="str"/>
      <x:c r="O13" s="69" t="str"/>
      <x:c r="P13" s="69" t="str"/>
      <x:c r="Q13" s="69" t="str"/>
      <x:c r="R13" s="69" t="str"/>
      <x:c r="S13" s="69" t="str"/>
      <x:c r="T13" s="69" t="str"/>
      <x:c r="U13" s="69" t="str">
        <x:v>Tidak</x:v>
      </x:c>
      <x:c r="V13" s="69" t="str">
        <x:v>Tidak</x:v>
      </x:c>
      <x:c r="W13" s="69" t="str">
        <x:v>Aktif</x:v>
      </x:c>
      <x:c r="X13" s="70" t="str"/>
    </x:row>
    <x:row r="14">
      <x:c r="A14" s="96" t="str">
        <x:v>PRD0013</x:v>
      </x:c>
      <x:c r="B14" s="69" t="str">
        <x:v>doa-xavier-koko-kids</x:v>
      </x:c>
      <x:c r="C14" s="102" t="n">
        <x:v>2</x:v>
      </x:c>
      <x:c r="D14" s="108" t="str">
        <x:v>DOA</x:v>
      </x:c>
      <x:c r="E14" s="69" t="str">
        <x:v>Xavier Koko Kids</x:v>
      </x:c>
      <x:c r="F14" s="69" t="str">
        <x:v>Shirt</x:v>
      </x:c>
      <x:c r="G14" s="69" t="str">
        <x:v>Anak</x:v>
      </x:c>
      <x:c r="H14" s="69" t="str">
        <x:v>Baru</x:v>
      </x:c>
      <x:c r="I14" s="84" t="n">
        <x:f>MINIFS(VARIAN_STOK!$H$2:$H$333,VARIAN_STOK!$D$2:$D$333,$A14)</x:f>
        <x:v>450000</x:v>
      </x:c>
      <x:c r="J14" s="84" t="n">
        <x:f>MAXIFS(VARIAN_STOK!$H$2:$H$333,VARIAN_STOK!$D$2:$D$333,$A14)</x:f>
        <x:v>450000</x:v>
      </x:c>
      <x:c r="K14" s="90" t="n">
        <x:f>SUMIF(VARIAN_STOK!$D$2:$D$333,$A14,VARIAN_STOK!$I$2:$I$333)</x:f>
        <x:v>12</x:v>
      </x:c>
      <x:c r="L14" s="90" t="n">
        <x:f>COUNTIF(VARIAN_STOK!$D$2:$D$333,$A14)</x:f>
        <x:v>4</x:v>
      </x:c>
      <x:c r="M14" s="69" t="str"/>
      <x:c r="N14" s="69" t="str">
        <x:v>11-12, 5-6, 7-8, 9-10</x:v>
      </x:c>
      <x:c r="O14" s="69" t="str"/>
      <x:c r="P14" s="69" t="str"/>
      <x:c r="Q14" s="69" t="str"/>
      <x:c r="R14" s="69" t="str"/>
      <x:c r="S14" s="69" t="str"/>
      <x:c r="T14" s="69" t="str"/>
      <x:c r="U14" s="69" t="str">
        <x:v>Tidak</x:v>
      </x:c>
      <x:c r="V14" s="69" t="str">
        <x:v>Tidak</x:v>
      </x:c>
      <x:c r="W14" s="69" t="str">
        <x:v>Aktif</x:v>
      </x:c>
      <x:c r="X14" s="70" t="str"/>
    </x:row>
    <x:row r="15">
      <x:c r="A15" s="96" t="str">
        <x:v>PRD0014</x:v>
      </x:c>
      <x:c r="B15" s="69" t="str">
        <x:v>heart-troops-canola-blouse</x:v>
      </x:c>
      <x:c r="C15" s="102" t="n">
        <x:v>3</x:v>
      </x:c>
      <x:c r="D15" s="108" t="str">
        <x:v>HEART TROOPS</x:v>
      </x:c>
      <x:c r="E15" s="69" t="str">
        <x:v>Canola Blouse</x:v>
      </x:c>
      <x:c r="F15" s="69" t="str">
        <x:v>Blouse</x:v>
      </x:c>
      <x:c r="G15" s="69" t="str">
        <x:v>Dewasa</x:v>
      </x:c>
      <x:c r="H15" s="69" t="str">
        <x:v>Baru</x:v>
      </x:c>
      <x:c r="I15" s="84" t="n">
        <x:f>MINIFS(VARIAN_STOK!$H$2:$H$333,VARIAN_STOK!$D$2:$D$333,$A15)</x:f>
        <x:v>559000</x:v>
      </x:c>
      <x:c r="J15" s="84" t="n">
        <x:f>MAXIFS(VARIAN_STOK!$H$2:$H$333,VARIAN_STOK!$D$2:$D$333,$A15)</x:f>
        <x:v>559000</x:v>
      </x:c>
      <x:c r="K15" s="90" t="n">
        <x:f>SUMIF(VARIAN_STOK!$D$2:$D$333,$A15,VARIAN_STOK!$I$2:$I$333)</x:f>
        <x:v>3</x:v>
      </x:c>
      <x:c r="L15" s="90" t="n">
        <x:f>COUNTIF(VARIAN_STOK!$D$2:$D$333,$A15)</x:f>
        <x:v>1</x:v>
      </x:c>
      <x:c r="M15" s="69" t="str"/>
      <x:c r="N15" s="69" t="str"/>
      <x:c r="O15" s="69" t="str"/>
      <x:c r="P15" s="69" t="str"/>
      <x:c r="Q15" s="69" t="str"/>
      <x:c r="R15" s="69" t="str"/>
      <x:c r="S15" s="69" t="str"/>
      <x:c r="T15" s="69" t="str"/>
      <x:c r="U15" s="69" t="str">
        <x:v>Tidak</x:v>
      </x:c>
      <x:c r="V15" s="69" t="str">
        <x:v>Tidak</x:v>
      </x:c>
      <x:c r="W15" s="69" t="str">
        <x:v>Aktif</x:v>
      </x:c>
      <x:c r="X15" s="70" t="str"/>
    </x:row>
    <x:row r="16">
      <x:c r="A16" s="96" t="str">
        <x:v>PRD0015</x:v>
      </x:c>
      <x:c r="B16" s="69" t="str">
        <x:v>heart-troops-zorina-blouse</x:v>
      </x:c>
      <x:c r="C16" s="102" t="n">
        <x:v>3</x:v>
      </x:c>
      <x:c r="D16" s="108" t="str">
        <x:v>HEART TROOPS</x:v>
      </x:c>
      <x:c r="E16" s="69" t="str">
        <x:v>Zorina Blouse</x:v>
      </x:c>
      <x:c r="F16" s="69" t="str">
        <x:v>Blouse</x:v>
      </x:c>
      <x:c r="G16" s="69" t="str">
        <x:v>Dewasa</x:v>
      </x:c>
      <x:c r="H16" s="69" t="str">
        <x:v>Baru</x:v>
      </x:c>
      <x:c r="I16" s="84" t="n">
        <x:f>MINIFS(VARIAN_STOK!$H$2:$H$333,VARIAN_STOK!$D$2:$D$333,$A16)</x:f>
        <x:v>595000</x:v>
      </x:c>
      <x:c r="J16" s="84" t="n">
        <x:f>MAXIFS(VARIAN_STOK!$H$2:$H$333,VARIAN_STOK!$D$2:$D$333,$A16)</x:f>
        <x:v>595000</x:v>
      </x:c>
      <x:c r="K16" s="90" t="n">
        <x:f>SUMIF(VARIAN_STOK!$D$2:$D$333,$A16,VARIAN_STOK!$I$2:$I$333)</x:f>
        <x:v>2</x:v>
      </x:c>
      <x:c r="L16" s="90" t="n">
        <x:f>COUNTIF(VARIAN_STOK!$D$2:$D$333,$A16)</x:f>
        <x:v>2</x:v>
      </x:c>
      <x:c r="M16" s="69" t="str">
        <x:v>Blue, Ivory</x:v>
      </x:c>
      <x:c r="N16" s="69" t="str">
        <x:v>L-XL</x:v>
      </x:c>
      <x:c r="O16" s="69" t="str"/>
      <x:c r="P16" s="69" t="str"/>
      <x:c r="Q16" s="69" t="str"/>
      <x:c r="R16" s="69" t="str"/>
      <x:c r="S16" s="69" t="str"/>
      <x:c r="T16" s="69" t="str"/>
      <x:c r="U16" s="69" t="str">
        <x:v>Tidak</x:v>
      </x:c>
      <x:c r="V16" s="69" t="str">
        <x:v>Tidak</x:v>
      </x:c>
      <x:c r="W16" s="69" t="str">
        <x:v>Aktif</x:v>
      </x:c>
      <x:c r="X16" s="70" t="str"/>
    </x:row>
    <x:row r="17">
      <x:c r="A17" s="96" t="str">
        <x:v>PRD0016</x:v>
      </x:c>
      <x:c r="B17" s="69" t="str">
        <x:v>heart-troops-ayoka-dress-kids</x:v>
      </x:c>
      <x:c r="C17" s="102" t="n">
        <x:v>3</x:v>
      </x:c>
      <x:c r="D17" s="108" t="str">
        <x:v>HEART TROOPS</x:v>
      </x:c>
      <x:c r="E17" s="69" t="str">
        <x:v>Ayoka Dress Kids</x:v>
      </x:c>
      <x:c r="F17" s="69" t="str">
        <x:v>Dress</x:v>
      </x:c>
      <x:c r="G17" s="69" t="str">
        <x:v>Anak</x:v>
      </x:c>
      <x:c r="H17" s="69" t="str">
        <x:v>Baru</x:v>
      </x:c>
      <x:c r="I17" s="84" t="n">
        <x:f>MINIFS(VARIAN_STOK!$H$2:$H$333,VARIAN_STOK!$D$2:$D$333,$A17)</x:f>
        <x:v>795000</x:v>
      </x:c>
      <x:c r="J17" s="84" t="n">
        <x:f>MAXIFS(VARIAN_STOK!$H$2:$H$333,VARIAN_STOK!$D$2:$D$333,$A17)</x:f>
        <x:v>795000</x:v>
      </x:c>
      <x:c r="K17" s="90" t="n">
        <x:f>SUMIF(VARIAN_STOK!$D$2:$D$333,$A17,VARIAN_STOK!$I$2:$I$333)</x:f>
        <x:v>3</x:v>
      </x:c>
      <x:c r="L17" s="90" t="n">
        <x:f>COUNTIF(VARIAN_STOK!$D$2:$D$333,$A17)</x:f>
        <x:v>3</x:v>
      </x:c>
      <x:c r="M17" s="69" t="str"/>
      <x:c r="N17" s="69" t="str">
        <x:v>12, 6, 8</x:v>
      </x:c>
      <x:c r="O17" s="69" t="str"/>
      <x:c r="P17" s="69" t="str"/>
      <x:c r="Q17" s="69" t="str"/>
      <x:c r="R17" s="69" t="str"/>
      <x:c r="S17" s="69" t="str"/>
      <x:c r="T17" s="69" t="str"/>
      <x:c r="U17" s="69" t="str">
        <x:v>Tidak</x:v>
      </x:c>
      <x:c r="V17" s="69" t="str">
        <x:v>Tidak</x:v>
      </x:c>
      <x:c r="W17" s="69" t="str">
        <x:v>Aktif</x:v>
      </x:c>
      <x:c r="X17" s="70" t="str"/>
    </x:row>
    <x:row r="18">
      <x:c r="A18" s="96" t="str">
        <x:v>PRD0017</x:v>
      </x:c>
      <x:c r="B18" s="69" t="str">
        <x:v>heart-troops-keita-dress</x:v>
      </x:c>
      <x:c r="C18" s="102" t="n">
        <x:v>3</x:v>
      </x:c>
      <x:c r="D18" s="108" t="str">
        <x:v>HEART TROOPS</x:v>
      </x:c>
      <x:c r="E18" s="69" t="str">
        <x:v>Keita Dress</x:v>
      </x:c>
      <x:c r="F18" s="69" t="str">
        <x:v>Dress</x:v>
      </x:c>
      <x:c r="G18" s="69" t="str">
        <x:v>Dewasa</x:v>
      </x:c>
      <x:c r="H18" s="69" t="str">
        <x:v>Baru</x:v>
      </x:c>
      <x:c r="I18" s="84" t="n">
        <x:f>MINIFS(VARIAN_STOK!$H$2:$H$333,VARIAN_STOK!$D$2:$D$333,$A18)</x:f>
        <x:v>785000</x:v>
      </x:c>
      <x:c r="J18" s="84" t="n">
        <x:f>MAXIFS(VARIAN_STOK!$H$2:$H$333,VARIAN_STOK!$D$2:$D$333,$A18)</x:f>
        <x:v>785000</x:v>
      </x:c>
      <x:c r="K18" s="90" t="n">
        <x:f>SUMIF(VARIAN_STOK!$D$2:$D$333,$A18,VARIAN_STOK!$I$2:$I$333)</x:f>
        <x:v>7</x:v>
      </x:c>
      <x:c r="L18" s="90" t="n">
        <x:f>COUNTIF(VARIAN_STOK!$D$2:$D$333,$A18)</x:f>
        <x:v>5</x:v>
      </x:c>
      <x:c r="M18" s="69" t="str"/>
      <x:c r="N18" s="69" t="str">
        <x:v>11-12, 3-4, 5-6, 7-8, 9-10</x:v>
      </x:c>
      <x:c r="O18" s="69" t="str"/>
      <x:c r="P18" s="69" t="str"/>
      <x:c r="Q18" s="69" t="str"/>
      <x:c r="R18" s="69" t="str"/>
      <x:c r="S18" s="69" t="str"/>
      <x:c r="T18" s="69" t="str"/>
      <x:c r="U18" s="69" t="str">
        <x:v>Tidak</x:v>
      </x:c>
      <x:c r="V18" s="69" t="str">
        <x:v>Tidak</x:v>
      </x:c>
      <x:c r="W18" s="69" t="str">
        <x:v>Aktif</x:v>
      </x:c>
      <x:c r="X18" s="70" t="str"/>
    </x:row>
    <x:row r="19">
      <x:c r="A19" s="96" t="str">
        <x:v>PRD0018</x:v>
      </x:c>
      <x:c r="B19" s="69" t="str">
        <x:v>heart-troops-kenanga-dress-kids</x:v>
      </x:c>
      <x:c r="C19" s="102" t="n">
        <x:v>3</x:v>
      </x:c>
      <x:c r="D19" s="108" t="str">
        <x:v>HEART TROOPS</x:v>
      </x:c>
      <x:c r="E19" s="69" t="str">
        <x:v>Kenanga Dress Kids</x:v>
      </x:c>
      <x:c r="F19" s="69" t="str">
        <x:v>Dress</x:v>
      </x:c>
      <x:c r="G19" s="69" t="str">
        <x:v>Anak</x:v>
      </x:c>
      <x:c r="H19" s="69" t="str">
        <x:v>Baru</x:v>
      </x:c>
      <x:c r="I19" s="84" t="n">
        <x:f>MINIFS(VARIAN_STOK!$H$2:$H$333,VARIAN_STOK!$D$2:$D$333,$A19)</x:f>
        <x:v>879000</x:v>
      </x:c>
      <x:c r="J19" s="84" t="n">
        <x:f>MAXIFS(VARIAN_STOK!$H$2:$H$333,VARIAN_STOK!$D$2:$D$333,$A19)</x:f>
        <x:v>949000</x:v>
      </x:c>
      <x:c r="K19" s="90" t="n">
        <x:f>SUMIF(VARIAN_STOK!$D$2:$D$333,$A19,VARIAN_STOK!$I$2:$I$333)</x:f>
        <x:v>3</x:v>
      </x:c>
      <x:c r="L19" s="90" t="n">
        <x:f>COUNTIF(VARIAN_STOK!$D$2:$D$333,$A19)</x:f>
        <x:v>3</x:v>
      </x:c>
      <x:c r="M19" s="69" t="str"/>
      <x:c r="N19" s="69" t="str">
        <x:v>3-4y, 7-8y, 9-10y</x:v>
      </x:c>
      <x:c r="O19" s="69" t="str"/>
      <x:c r="P19" s="69" t="str"/>
      <x:c r="Q19" s="69" t="str"/>
      <x:c r="R19" s="69" t="str"/>
      <x:c r="S19" s="69" t="str"/>
      <x:c r="T19" s="69" t="str"/>
      <x:c r="U19" s="69" t="str">
        <x:v>Tidak</x:v>
      </x:c>
      <x:c r="V19" s="69" t="str">
        <x:v>Tidak</x:v>
      </x:c>
      <x:c r="W19" s="69" t="str">
        <x:v>Aktif</x:v>
      </x:c>
      <x:c r="X19" s="70" t="str"/>
    </x:row>
    <x:row r="20">
      <x:c r="A20" s="96" t="str">
        <x:v>PRD0019</x:v>
      </x:c>
      <x:c r="B20" s="69" t="str">
        <x:v>heart-troops-prish-dress-wanita</x:v>
      </x:c>
      <x:c r="C20" s="102" t="n">
        <x:v>3</x:v>
      </x:c>
      <x:c r="D20" s="108" t="str">
        <x:v>HEART TROOPS</x:v>
      </x:c>
      <x:c r="E20" s="69" t="str">
        <x:v>Prish Dress Wanita</x:v>
      </x:c>
      <x:c r="F20" s="69" t="str">
        <x:v>Dress</x:v>
      </x:c>
      <x:c r="G20" s="69" t="str">
        <x:v>Dewasa</x:v>
      </x:c>
      <x:c r="H20" s="69" t="str">
        <x:v>Baru</x:v>
      </x:c>
      <x:c r="I20" s="84" t="n">
        <x:f>MINIFS(VARIAN_STOK!$H$2:$H$333,VARIAN_STOK!$D$2:$D$333,$A20)</x:f>
        <x:v>975000</x:v>
      </x:c>
      <x:c r="J20" s="84" t="n">
        <x:f>MAXIFS(VARIAN_STOK!$H$2:$H$333,VARIAN_STOK!$D$2:$D$333,$A20)</x:f>
        <x:v>975000</x:v>
      </x:c>
      <x:c r="K20" s="90" t="n">
        <x:f>SUMIF(VARIAN_STOK!$D$2:$D$333,$A20,VARIAN_STOK!$I$2:$I$333)</x:f>
        <x:v>1</x:v>
      </x:c>
      <x:c r="L20" s="90" t="n">
        <x:f>COUNTIF(VARIAN_STOK!$D$2:$D$333,$A20)</x:f>
        <x:v>1</x:v>
      </x:c>
      <x:c r="M20" s="69" t="str"/>
      <x:c r="N20" s="69" t="str">
        <x:v>L-XL</x:v>
      </x:c>
      <x:c r="O20" s="69" t="str"/>
      <x:c r="P20" s="69" t="str"/>
      <x:c r="Q20" s="69" t="str"/>
      <x:c r="R20" s="69" t="str"/>
      <x:c r="S20" s="69" t="str"/>
      <x:c r="T20" s="69" t="str"/>
      <x:c r="U20" s="69" t="str">
        <x:v>Tidak</x:v>
      </x:c>
      <x:c r="V20" s="69" t="str">
        <x:v>Tidak</x:v>
      </x:c>
      <x:c r="W20" s="69" t="str">
        <x:v>Aktif</x:v>
      </x:c>
      <x:c r="X20" s="70" t="str"/>
    </x:row>
    <x:row r="21">
      <x:c r="A21" s="96" t="str">
        <x:v>PRD0020</x:v>
      </x:c>
      <x:c r="B21" s="69" t="str">
        <x:v>heart-troops-cempaka-pants</x:v>
      </x:c>
      <x:c r="C21" s="102" t="n">
        <x:v>3</x:v>
      </x:c>
      <x:c r="D21" s="108" t="str">
        <x:v>HEART TROOPS</x:v>
      </x:c>
      <x:c r="E21" s="69" t="str">
        <x:v>Cempaka Pants</x:v>
      </x:c>
      <x:c r="F21" s="69" t="str">
        <x:v>Pants</x:v>
      </x:c>
      <x:c r="G21" s="69" t="str">
        <x:v>Dewasa</x:v>
      </x:c>
      <x:c r="H21" s="69" t="str">
        <x:v>Baru</x:v>
      </x:c>
      <x:c r="I21" s="84" t="n">
        <x:f>MINIFS(VARIAN_STOK!$H$2:$H$333,VARIAN_STOK!$D$2:$D$333,$A21)</x:f>
        <x:v>549000</x:v>
      </x:c>
      <x:c r="J21" s="84" t="n">
        <x:f>MAXIFS(VARIAN_STOK!$H$2:$H$333,VARIAN_STOK!$D$2:$D$333,$A21)</x:f>
        <x:v>549000</x:v>
      </x:c>
      <x:c r="K21" s="90" t="n">
        <x:f>SUMIF(VARIAN_STOK!$D$2:$D$333,$A21,VARIAN_STOK!$I$2:$I$333)</x:f>
        <x:v>1</x:v>
      </x:c>
      <x:c r="L21" s="90" t="n">
        <x:f>COUNTIF(VARIAN_STOK!$D$2:$D$333,$A21)</x:f>
        <x:v>1</x:v>
      </x:c>
      <x:c r="M21" s="69" t="str"/>
      <x:c r="N21" s="69" t="str">
        <x:v>SM</x:v>
      </x:c>
      <x:c r="O21" s="69" t="str"/>
      <x:c r="P21" s="69" t="str"/>
      <x:c r="Q21" s="69" t="str"/>
      <x:c r="R21" s="69" t="str"/>
      <x:c r="S21" s="69" t="str"/>
      <x:c r="T21" s="69" t="str"/>
      <x:c r="U21" s="69" t="str">
        <x:v>Tidak</x:v>
      </x:c>
      <x:c r="V21" s="69" t="str">
        <x:v>Tidak</x:v>
      </x:c>
      <x:c r="W21" s="69" t="str">
        <x:v>Aktif</x:v>
      </x:c>
      <x:c r="X21" s="70" t="str"/>
    </x:row>
    <x:row r="22">
      <x:c r="A22" s="96" t="str">
        <x:v>PRD0021</x:v>
      </x:c>
      <x:c r="B22" s="69" t="str">
        <x:v>heart-troops-manau-pants</x:v>
      </x:c>
      <x:c r="C22" s="102" t="n">
        <x:v>3</x:v>
      </x:c>
      <x:c r="D22" s="108" t="str">
        <x:v>HEART TROOPS</x:v>
      </x:c>
      <x:c r="E22" s="69" t="str">
        <x:v>Manau Pants</x:v>
      </x:c>
      <x:c r="F22" s="69" t="str">
        <x:v>Pants</x:v>
      </x:c>
      <x:c r="G22" s="69" t="str">
        <x:v>Dewasa</x:v>
      </x:c>
      <x:c r="H22" s="69" t="str">
        <x:v>Baru</x:v>
      </x:c>
      <x:c r="I22" s="84" t="n">
        <x:f>MINIFS(VARIAN_STOK!$H$2:$H$333,VARIAN_STOK!$D$2:$D$333,$A22)</x:f>
        <x:v>549000</x:v>
      </x:c>
      <x:c r="J22" s="84" t="n">
        <x:f>MAXIFS(VARIAN_STOK!$H$2:$H$333,VARIAN_STOK!$D$2:$D$333,$A22)</x:f>
        <x:v>549000</x:v>
      </x:c>
      <x:c r="K22" s="90" t="n">
        <x:f>SUMIF(VARIAN_STOK!$D$2:$D$333,$A22,VARIAN_STOK!$I$2:$I$333)</x:f>
        <x:v>1</x:v>
      </x:c>
      <x:c r="L22" s="90" t="n">
        <x:f>COUNTIF(VARIAN_STOK!$D$2:$D$333,$A22)</x:f>
        <x:v>1</x:v>
      </x:c>
      <x:c r="M22" s="69" t="str"/>
      <x:c r="N22" s="69" t="str">
        <x:v>SM</x:v>
      </x:c>
      <x:c r="O22" s="69" t="str"/>
      <x:c r="P22" s="69" t="str"/>
      <x:c r="Q22" s="69" t="str"/>
      <x:c r="R22" s="69" t="str"/>
      <x:c r="S22" s="69" t="str"/>
      <x:c r="T22" s="69" t="str"/>
      <x:c r="U22" s="69" t="str">
        <x:v>Tidak</x:v>
      </x:c>
      <x:c r="V22" s="69" t="str">
        <x:v>Tidak</x:v>
      </x:c>
      <x:c r="W22" s="69" t="str">
        <x:v>Aktif</x:v>
      </x:c>
      <x:c r="X22" s="70" t="str"/>
    </x:row>
    <x:row r="23">
      <x:c r="A23" s="96" t="str">
        <x:v>PRD0022</x:v>
      </x:c>
      <x:c r="B23" s="69" t="str">
        <x:v>heart-troops-nyssa-pants</x:v>
      </x:c>
      <x:c r="C23" s="102" t="n">
        <x:v>3</x:v>
      </x:c>
      <x:c r="D23" s="108" t="str">
        <x:v>HEART TROOPS</x:v>
      </x:c>
      <x:c r="E23" s="69" t="str">
        <x:v>Nyssa Pants</x:v>
      </x:c>
      <x:c r="F23" s="69" t="str">
        <x:v>Pants</x:v>
      </x:c>
      <x:c r="G23" s="69" t="str">
        <x:v>Dewasa</x:v>
      </x:c>
      <x:c r="H23" s="69" t="str">
        <x:v>Baru</x:v>
      </x:c>
      <x:c r="I23" s="84" t="n">
        <x:f>MINIFS(VARIAN_STOK!$H$2:$H$333,VARIAN_STOK!$D$2:$D$333,$A23)</x:f>
        <x:v>325000</x:v>
      </x:c>
      <x:c r="J23" s="84" t="n">
        <x:f>MAXIFS(VARIAN_STOK!$H$2:$H$333,VARIAN_STOK!$D$2:$D$333,$A23)</x:f>
        <x:v>325000</x:v>
      </x:c>
      <x:c r="K23" s="90" t="n">
        <x:f>SUMIF(VARIAN_STOK!$D$2:$D$333,$A23,VARIAN_STOK!$I$2:$I$333)</x:f>
        <x:v>2</x:v>
      </x:c>
      <x:c r="L23" s="90" t="n">
        <x:f>COUNTIF(VARIAN_STOK!$D$2:$D$333,$A23)</x:f>
        <x:v>2</x:v>
      </x:c>
      <x:c r="M23" s="69" t="str">
        <x:v>Pink, Silver Grey</x:v>
      </x:c>
      <x:c r="N23" s="69" t="str"/>
      <x:c r="O23" s="69" t="str"/>
      <x:c r="P23" s="69" t="str"/>
      <x:c r="Q23" s="69" t="str"/>
      <x:c r="R23" s="69" t="str"/>
      <x:c r="S23" s="69" t="str"/>
      <x:c r="T23" s="69" t="str"/>
      <x:c r="U23" s="69" t="str">
        <x:v>Tidak</x:v>
      </x:c>
      <x:c r="V23" s="69" t="str">
        <x:v>Tidak</x:v>
      </x:c>
      <x:c r="W23" s="69" t="str">
        <x:v>Aktif</x:v>
      </x:c>
      <x:c r="X23" s="70" t="str"/>
    </x:row>
    <x:row r="24">
      <x:c r="A24" s="96" t="str">
        <x:v>PRD0023</x:v>
      </x:c>
      <x:c r="B24" s="69" t="str">
        <x:v>heart-troops-cendana-set-kids</x:v>
      </x:c>
      <x:c r="C24" s="102" t="n">
        <x:v>3</x:v>
      </x:c>
      <x:c r="D24" s="108" t="str">
        <x:v>HEART TROOPS</x:v>
      </x:c>
      <x:c r="E24" s="69" t="str">
        <x:v>Cendana Set Kids</x:v>
      </x:c>
      <x:c r="F24" s="69" t="str">
        <x:v>Set</x:v>
      </x:c>
      <x:c r="G24" s="69" t="str">
        <x:v>Anak</x:v>
      </x:c>
      <x:c r="H24" s="69" t="str">
        <x:v>Baru</x:v>
      </x:c>
      <x:c r="I24" s="84" t="n">
        <x:f>MINIFS(VARIAN_STOK!$H$2:$H$333,VARIAN_STOK!$D$2:$D$333,$A24)</x:f>
        <x:v>925000</x:v>
      </x:c>
      <x:c r="J24" s="84" t="n">
        <x:f>MAXIFS(VARIAN_STOK!$H$2:$H$333,VARIAN_STOK!$D$2:$D$333,$A24)</x:f>
        <x:v>925000</x:v>
      </x:c>
      <x:c r="K24" s="90" t="n">
        <x:f>SUMIF(VARIAN_STOK!$D$2:$D$333,$A24,VARIAN_STOK!$I$2:$I$333)</x:f>
        <x:v>5</x:v>
      </x:c>
      <x:c r="L24" s="90" t="n">
        <x:f>COUNTIF(VARIAN_STOK!$D$2:$D$333,$A24)</x:f>
        <x:v>5</x:v>
      </x:c>
      <x:c r="M24" s="69" t="str"/>
      <x:c r="N24" s="69" t="str">
        <x:v>11-12y, 3-4y, 5-6y, 7-8y, 9-10y</x:v>
      </x:c>
      <x:c r="O24" s="69" t="str"/>
      <x:c r="P24" s="69" t="str"/>
      <x:c r="Q24" s="69" t="str"/>
      <x:c r="R24" s="69" t="str"/>
      <x:c r="S24" s="69" t="str"/>
      <x:c r="T24" s="69" t="str"/>
      <x:c r="U24" s="69" t="str">
        <x:v>Tidak</x:v>
      </x:c>
      <x:c r="V24" s="69" t="str">
        <x:v>Tidak</x:v>
      </x:c>
      <x:c r="W24" s="69" t="str">
        <x:v>Aktif</x:v>
      </x:c>
      <x:c r="X24" s="70" t="str"/>
    </x:row>
    <x:row r="25">
      <x:c r="A25" s="96" t="str">
        <x:v>PRD0024</x:v>
      </x:c>
      <x:c r="B25" s="69" t="str">
        <x:v>heart-troops-pandora-set-kids</x:v>
      </x:c>
      <x:c r="C25" s="102" t="n">
        <x:v>3</x:v>
      </x:c>
      <x:c r="D25" s="108" t="str">
        <x:v>HEART TROOPS</x:v>
      </x:c>
      <x:c r="E25" s="69" t="str">
        <x:v>Pandora Set Kids</x:v>
      </x:c>
      <x:c r="F25" s="69" t="str">
        <x:v>Set</x:v>
      </x:c>
      <x:c r="G25" s="69" t="str">
        <x:v>Anak</x:v>
      </x:c>
      <x:c r="H25" s="69" t="str">
        <x:v>Baru</x:v>
      </x:c>
      <x:c r="I25" s="84" t="n">
        <x:f>MINIFS(VARIAN_STOK!$H$2:$H$333,VARIAN_STOK!$D$2:$D$333,$A25)</x:f>
        <x:v>849000</x:v>
      </x:c>
      <x:c r="J25" s="84" t="n">
        <x:f>MAXIFS(VARIAN_STOK!$H$2:$H$333,VARIAN_STOK!$D$2:$D$333,$A25)</x:f>
        <x:v>849000</x:v>
      </x:c>
      <x:c r="K25" s="90" t="n">
        <x:f>SUMIF(VARIAN_STOK!$D$2:$D$333,$A25,VARIAN_STOK!$I$2:$I$333)</x:f>
        <x:v>2</x:v>
      </x:c>
      <x:c r="L25" s="90" t="n">
        <x:f>COUNTIF(VARIAN_STOK!$D$2:$D$333,$A25)</x:f>
        <x:v>1</x:v>
      </x:c>
      <x:c r="M25" s="69" t="str"/>
      <x:c r="N25" s="69" t="str">
        <x:v>3-4</x:v>
      </x:c>
      <x:c r="O25" s="69" t="str"/>
      <x:c r="P25" s="69" t="str"/>
      <x:c r="Q25" s="69" t="str"/>
      <x:c r="R25" s="69" t="str"/>
      <x:c r="S25" s="69" t="str"/>
      <x:c r="T25" s="69" t="str"/>
      <x:c r="U25" s="69" t="str">
        <x:v>Tidak</x:v>
      </x:c>
      <x:c r="V25" s="69" t="str">
        <x:v>Tidak</x:v>
      </x:c>
      <x:c r="W25" s="69" t="str">
        <x:v>Aktif</x:v>
      </x:c>
      <x:c r="X25" s="70" t="str"/>
    </x:row>
    <x:row r="26">
      <x:c r="A26" s="96" t="str">
        <x:v>PRD0025</x:v>
      </x:c>
      <x:c r="B26" s="69" t="str">
        <x:v>heart-troops-sekar-set-kids</x:v>
      </x:c>
      <x:c r="C26" s="102" t="n">
        <x:v>3</x:v>
      </x:c>
      <x:c r="D26" s="108" t="str">
        <x:v>HEART TROOPS</x:v>
      </x:c>
      <x:c r="E26" s="69" t="str">
        <x:v>Sekar Set Kids</x:v>
      </x:c>
      <x:c r="F26" s="69" t="str">
        <x:v>Set</x:v>
      </x:c>
      <x:c r="G26" s="69" t="str">
        <x:v>Anak</x:v>
      </x:c>
      <x:c r="H26" s="69" t="str">
        <x:v>Baru</x:v>
      </x:c>
      <x:c r="I26" s="84" t="n">
        <x:f>MINIFS(VARIAN_STOK!$H$2:$H$333,VARIAN_STOK!$D$2:$D$333,$A26)</x:f>
        <x:v>825000</x:v>
      </x:c>
      <x:c r="J26" s="84" t="n">
        <x:f>MAXIFS(VARIAN_STOK!$H$2:$H$333,VARIAN_STOK!$D$2:$D$333,$A26)</x:f>
        <x:v>825000</x:v>
      </x:c>
      <x:c r="K26" s="90" t="n">
        <x:f>SUMIF(VARIAN_STOK!$D$2:$D$333,$A26,VARIAN_STOK!$I$2:$I$333)</x:f>
        <x:v>1</x:v>
      </x:c>
      <x:c r="L26" s="90" t="n">
        <x:f>COUNTIF(VARIAN_STOK!$D$2:$D$333,$A26)</x:f>
        <x:v>1</x:v>
      </x:c>
      <x:c r="M26" s="69" t="str">
        <x:v>Sky</x:v>
      </x:c>
      <x:c r="N26" s="69" t="str">
        <x:v>4</x:v>
      </x:c>
      <x:c r="O26" s="69" t="str"/>
      <x:c r="P26" s="69" t="str"/>
      <x:c r="Q26" s="69" t="str"/>
      <x:c r="R26" s="69" t="str"/>
      <x:c r="S26" s="69" t="str"/>
      <x:c r="T26" s="69" t="str"/>
      <x:c r="U26" s="69" t="str">
        <x:v>Tidak</x:v>
      </x:c>
      <x:c r="V26" s="69" t="str">
        <x:v>Tidak</x:v>
      </x:c>
      <x:c r="W26" s="69" t="str">
        <x:v>Aktif</x:v>
      </x:c>
      <x:c r="X26" s="70" t="str"/>
    </x:row>
    <x:row r="27">
      <x:c r="A27" s="96" t="str">
        <x:v>PRD0026</x:v>
      </x:c>
      <x:c r="B27" s="69" t="str">
        <x:v>heart-troops-sentani-set-kids</x:v>
      </x:c>
      <x:c r="C27" s="102" t="n">
        <x:v>3</x:v>
      </x:c>
      <x:c r="D27" s="108" t="str">
        <x:v>HEART TROOPS</x:v>
      </x:c>
      <x:c r="E27" s="69" t="str">
        <x:v>Sentani Set Kids</x:v>
      </x:c>
      <x:c r="F27" s="69" t="str">
        <x:v>Set</x:v>
      </x:c>
      <x:c r="G27" s="69" t="str">
        <x:v>Anak</x:v>
      </x:c>
      <x:c r="H27" s="69" t="str">
        <x:v>Baru</x:v>
      </x:c>
      <x:c r="I27" s="84" t="n">
        <x:f>MINIFS(VARIAN_STOK!$H$2:$H$333,VARIAN_STOK!$D$2:$D$333,$A27)</x:f>
        <x:v>899000</x:v>
      </x:c>
      <x:c r="J27" s="84" t="n">
        <x:f>MAXIFS(VARIAN_STOK!$H$2:$H$333,VARIAN_STOK!$D$2:$D$333,$A27)</x:f>
        <x:v>899000</x:v>
      </x:c>
      <x:c r="K27" s="90" t="n">
        <x:f>SUMIF(VARIAN_STOK!$D$2:$D$333,$A27,VARIAN_STOK!$I$2:$I$333)</x:f>
        <x:v>1</x:v>
      </x:c>
      <x:c r="L27" s="90" t="n">
        <x:f>COUNTIF(VARIAN_STOK!$D$2:$D$333,$A27)</x:f>
        <x:v>1</x:v>
      </x:c>
      <x:c r="M27" s="69" t="str"/>
      <x:c r="N27" s="69" t="str">
        <x:v>5-6y</x:v>
      </x:c>
      <x:c r="O27" s="69" t="str"/>
      <x:c r="P27" s="69" t="str"/>
      <x:c r="Q27" s="69" t="str"/>
      <x:c r="R27" s="69" t="str"/>
      <x:c r="S27" s="69" t="str"/>
      <x:c r="T27" s="69" t="str"/>
      <x:c r="U27" s="69" t="str">
        <x:v>Tidak</x:v>
      </x:c>
      <x:c r="V27" s="69" t="str">
        <x:v>Tidak</x:v>
      </x:c>
      <x:c r="W27" s="69" t="str">
        <x:v>Aktif</x:v>
      </x:c>
      <x:c r="X27" s="70" t="str"/>
    </x:row>
    <x:row r="28">
      <x:c r="A28" s="96" t="str">
        <x:v>PRD0027</x:v>
      </x:c>
      <x:c r="B28" s="69" t="str">
        <x:v>heart-troops-aubrey-shirt</x:v>
      </x:c>
      <x:c r="C28" s="102" t="n">
        <x:v>3</x:v>
      </x:c>
      <x:c r="D28" s="108" t="str">
        <x:v>HEART TROOPS</x:v>
      </x:c>
      <x:c r="E28" s="69" t="str">
        <x:v>Aubrey Shirt</x:v>
      </x:c>
      <x:c r="F28" s="69" t="str">
        <x:v>Shirt</x:v>
      </x:c>
      <x:c r="G28" s="69" t="str">
        <x:v>Dewasa</x:v>
      </x:c>
      <x:c r="H28" s="69" t="str">
        <x:v>Baru</x:v>
      </x:c>
      <x:c r="I28" s="84" t="n">
        <x:f>MINIFS(VARIAN_STOK!$H$2:$H$333,VARIAN_STOK!$D$2:$D$333,$A28)</x:f>
        <x:v>499000</x:v>
      </x:c>
      <x:c r="J28" s="84" t="n">
        <x:f>MAXIFS(VARIAN_STOK!$H$2:$H$333,VARIAN_STOK!$D$2:$D$333,$A28)</x:f>
        <x:v>499000</x:v>
      </x:c>
      <x:c r="K28" s="90" t="n">
        <x:f>SUMIF(VARIAN_STOK!$D$2:$D$333,$A28,VARIAN_STOK!$I$2:$I$333)</x:f>
        <x:v>1</x:v>
      </x:c>
      <x:c r="L28" s="90" t="n">
        <x:f>COUNTIF(VARIAN_STOK!$D$2:$D$333,$A28)</x:f>
        <x:v>1</x:v>
      </x:c>
      <x:c r="M28" s="69" t="str"/>
      <x:c r="N28" s="69" t="str">
        <x:v>L-XL</x:v>
      </x:c>
      <x:c r="O28" s="69" t="str"/>
      <x:c r="P28" s="69" t="str"/>
      <x:c r="Q28" s="69" t="str"/>
      <x:c r="R28" s="69" t="str"/>
      <x:c r="S28" s="69" t="str"/>
      <x:c r="T28" s="69" t="str"/>
      <x:c r="U28" s="69" t="str">
        <x:v>Tidak</x:v>
      </x:c>
      <x:c r="V28" s="69" t="str">
        <x:v>Tidak</x:v>
      </x:c>
      <x:c r="W28" s="69" t="str">
        <x:v>Aktif</x:v>
      </x:c>
      <x:c r="X28" s="70" t="str"/>
    </x:row>
    <x:row r="29">
      <x:c r="A29" s="96" t="str">
        <x:v>PRD0028</x:v>
      </x:c>
      <x:c r="B29" s="69" t="str">
        <x:v>heart-troops-bhisma-koko-shirt-kids</x:v>
      </x:c>
      <x:c r="C29" s="102" t="n">
        <x:v>3</x:v>
      </x:c>
      <x:c r="D29" s="108" t="str">
        <x:v>HEART TROOPS</x:v>
      </x:c>
      <x:c r="E29" s="69" t="str">
        <x:v>Bhisma Koko Shirt Kids</x:v>
      </x:c>
      <x:c r="F29" s="69" t="str">
        <x:v>Shirt</x:v>
      </x:c>
      <x:c r="G29" s="69" t="str">
        <x:v>Anak</x:v>
      </x:c>
      <x:c r="H29" s="69" t="str">
        <x:v>Baru</x:v>
      </x:c>
      <x:c r="I29" s="84" t="n">
        <x:f>MINIFS(VARIAN_STOK!$H$2:$H$333,VARIAN_STOK!$D$2:$D$333,$A29)</x:f>
        <x:v>389000</x:v>
      </x:c>
      <x:c r="J29" s="84" t="n">
        <x:f>MAXIFS(VARIAN_STOK!$H$2:$H$333,VARIAN_STOK!$D$2:$D$333,$A29)</x:f>
        <x:v>389000</x:v>
      </x:c>
      <x:c r="K29" s="90" t="n">
        <x:f>SUMIF(VARIAN_STOK!$D$2:$D$333,$A29,VARIAN_STOK!$I$2:$I$333)</x:f>
        <x:v>10</x:v>
      </x:c>
      <x:c r="L29" s="90" t="n">
        <x:f>COUNTIF(VARIAN_STOK!$D$2:$D$333,$A29)</x:f>
        <x:v>7</x:v>
      </x:c>
      <x:c r="M29" s="69" t="str">
        <x:v>Earth, Sky</x:v>
      </x:c>
      <x:c r="N29" s="69" t="str">
        <x:v>10, 4, 6, 8</x:v>
      </x:c>
      <x:c r="O29" s="69" t="str"/>
      <x:c r="P29" s="69" t="str"/>
      <x:c r="Q29" s="69" t="str"/>
      <x:c r="R29" s="69" t="str"/>
      <x:c r="S29" s="69" t="str"/>
      <x:c r="T29" s="69" t="str"/>
      <x:c r="U29" s="69" t="str">
        <x:v>Tidak</x:v>
      </x:c>
      <x:c r="V29" s="69" t="str">
        <x:v>Tidak</x:v>
      </x:c>
      <x:c r="W29" s="69" t="str">
        <x:v>Aktif</x:v>
      </x:c>
      <x:c r="X29" s="70" t="str"/>
    </x:row>
    <x:row r="30">
      <x:c r="A30" s="96" t="str">
        <x:v>PRD0029</x:v>
      </x:c>
      <x:c r="B30" s="69" t="str">
        <x:v>heart-troops-bromo-top-beige</x:v>
      </x:c>
      <x:c r="C30" s="102" t="n">
        <x:v>3</x:v>
      </x:c>
      <x:c r="D30" s="108" t="str">
        <x:v>HEART TROOPS</x:v>
      </x:c>
      <x:c r="E30" s="69" t="str">
        <x:v>Bromo Top Beige</x:v>
      </x:c>
      <x:c r="F30" s="69" t="str">
        <x:v>Shirt</x:v>
      </x:c>
      <x:c r="G30" s="69" t="str">
        <x:v>Dewasa</x:v>
      </x:c>
      <x:c r="H30" s="69" t="str">
        <x:v>Baru</x:v>
      </x:c>
      <x:c r="I30" s="84" t="n">
        <x:f>MINIFS(VARIAN_STOK!$H$2:$H$333,VARIAN_STOK!$D$2:$D$333,$A30)</x:f>
        <x:v>525000</x:v>
      </x:c>
      <x:c r="J30" s="84" t="n">
        <x:f>MAXIFS(VARIAN_STOK!$H$2:$H$333,VARIAN_STOK!$D$2:$D$333,$A30)</x:f>
        <x:v>525000</x:v>
      </x:c>
      <x:c r="K30" s="90" t="n">
        <x:f>SUMIF(VARIAN_STOK!$D$2:$D$333,$A30,VARIAN_STOK!$I$2:$I$333)</x:f>
        <x:v>2</x:v>
      </x:c>
      <x:c r="L30" s="90" t="n">
        <x:f>COUNTIF(VARIAN_STOK!$D$2:$D$333,$A30)</x:f>
        <x:v>1</x:v>
      </x:c>
      <x:c r="M30" s="69" t="str"/>
      <x:c r="N30" s="69" t="str">
        <x:v>S/M</x:v>
      </x:c>
      <x:c r="O30" s="69" t="str"/>
      <x:c r="P30" s="69" t="str"/>
      <x:c r="Q30" s="69" t="str"/>
      <x:c r="R30" s="69" t="str"/>
      <x:c r="S30" s="69" t="str"/>
      <x:c r="T30" s="69" t="str"/>
      <x:c r="U30" s="69" t="str">
        <x:v>Tidak</x:v>
      </x:c>
      <x:c r="V30" s="69" t="str">
        <x:v>Tidak</x:v>
      </x:c>
      <x:c r="W30" s="69" t="str">
        <x:v>Aktif</x:v>
      </x:c>
      <x:c r="X30" s="70" t="str"/>
    </x:row>
    <x:row r="31">
      <x:c r="A31" s="96" t="str">
        <x:v>PRD0030</x:v>
      </x:c>
      <x:c r="B31" s="69" t="str">
        <x:v>heart-troops-celeste-shirt</x:v>
      </x:c>
      <x:c r="C31" s="102" t="n">
        <x:v>3</x:v>
      </x:c>
      <x:c r="D31" s="108" t="str">
        <x:v>HEART TROOPS</x:v>
      </x:c>
      <x:c r="E31" s="69" t="str">
        <x:v>Celeste Shirt</x:v>
      </x:c>
      <x:c r="F31" s="69" t="str">
        <x:v>Shirt</x:v>
      </x:c>
      <x:c r="G31" s="69" t="str">
        <x:v>Dewasa</x:v>
      </x:c>
      <x:c r="H31" s="69" t="str">
        <x:v>Baru</x:v>
      </x:c>
      <x:c r="I31" s="84" t="n">
        <x:f>MINIFS(VARIAN_STOK!$H$2:$H$333,VARIAN_STOK!$D$2:$D$333,$A31)</x:f>
        <x:v>525000</x:v>
      </x:c>
      <x:c r="J31" s="84" t="n">
        <x:f>MAXIFS(VARIAN_STOK!$H$2:$H$333,VARIAN_STOK!$D$2:$D$333,$A31)</x:f>
        <x:v>525000</x:v>
      </x:c>
      <x:c r="K31" s="90" t="n">
        <x:f>SUMIF(VARIAN_STOK!$D$2:$D$333,$A31,VARIAN_STOK!$I$2:$I$333)</x:f>
        <x:v>1</x:v>
      </x:c>
      <x:c r="L31" s="90" t="n">
        <x:f>COUNTIF(VARIAN_STOK!$D$2:$D$333,$A31)</x:f>
        <x:v>1</x:v>
      </x:c>
      <x:c r="M31" s="69" t="str">
        <x:v>Peaceful</x:v>
      </x:c>
      <x:c r="N31" s="69" t="str">
        <x:v>L-XL</x:v>
      </x:c>
      <x:c r="O31" s="69" t="str"/>
      <x:c r="P31" s="69" t="str"/>
      <x:c r="Q31" s="69" t="str"/>
      <x:c r="R31" s="69" t="str"/>
      <x:c r="S31" s="69" t="str"/>
      <x:c r="T31" s="69" t="str"/>
      <x:c r="U31" s="69" t="str">
        <x:v>Tidak</x:v>
      </x:c>
      <x:c r="V31" s="69" t="str">
        <x:v>Tidak</x:v>
      </x:c>
      <x:c r="W31" s="69" t="str">
        <x:v>Aktif</x:v>
      </x:c>
      <x:c r="X31" s="70" t="str"/>
    </x:row>
    <x:row r="32">
      <x:c r="A32" s="96" t="str">
        <x:v>PRD0031</x:v>
      </x:c>
      <x:c r="B32" s="69" t="str">
        <x:v>heart-troops-celestine-beige-shirt</x:v>
      </x:c>
      <x:c r="C32" s="102" t="n">
        <x:v>3</x:v>
      </x:c>
      <x:c r="D32" s="108" t="str">
        <x:v>HEART TROOPS</x:v>
      </x:c>
      <x:c r="E32" s="69" t="str">
        <x:v>Celestine Beige Shirt</x:v>
      </x:c>
      <x:c r="F32" s="69" t="str">
        <x:v>Shirt</x:v>
      </x:c>
      <x:c r="G32" s="69" t="str">
        <x:v>Dewasa</x:v>
      </x:c>
      <x:c r="H32" s="69" t="str">
        <x:v>Baru</x:v>
      </x:c>
      <x:c r="I32" s="84" t="n">
        <x:f>MINIFS(VARIAN_STOK!$H$2:$H$333,VARIAN_STOK!$D$2:$D$333,$A32)</x:f>
        <x:v>595000</x:v>
      </x:c>
      <x:c r="J32" s="84" t="n">
        <x:f>MAXIFS(VARIAN_STOK!$H$2:$H$333,VARIAN_STOK!$D$2:$D$333,$A32)</x:f>
        <x:v>595000</x:v>
      </x:c>
      <x:c r="K32" s="90" t="n">
        <x:f>SUMIF(VARIAN_STOK!$D$2:$D$333,$A32,VARIAN_STOK!$I$2:$I$333)</x:f>
        <x:v>1</x:v>
      </x:c>
      <x:c r="L32" s="90" t="n">
        <x:f>COUNTIF(VARIAN_STOK!$D$2:$D$333,$A32)</x:f>
        <x:v>1</x:v>
      </x:c>
      <x:c r="M32" s="69" t="str"/>
      <x:c r="N32" s="69" t="str">
        <x:v>L-XL</x:v>
      </x:c>
      <x:c r="O32" s="69" t="str"/>
      <x:c r="P32" s="69" t="str"/>
      <x:c r="Q32" s="69" t="str"/>
      <x:c r="R32" s="69" t="str"/>
      <x:c r="S32" s="69" t="str"/>
      <x:c r="T32" s="69" t="str"/>
      <x:c r="U32" s="69" t="str">
        <x:v>Tidak</x:v>
      </x:c>
      <x:c r="V32" s="69" t="str">
        <x:v>Tidak</x:v>
      </x:c>
      <x:c r="W32" s="69" t="str">
        <x:v>Aktif</x:v>
      </x:c>
      <x:c r="X32" s="70" t="str"/>
    </x:row>
    <x:row r="33">
      <x:c r="A33" s="96" t="str">
        <x:v>PRD0032</x:v>
      </x:c>
      <x:c r="B33" s="69" t="str">
        <x:v>heart-troops-celestine-blue-shirt</x:v>
      </x:c>
      <x:c r="C33" s="102" t="n">
        <x:v>3</x:v>
      </x:c>
      <x:c r="D33" s="108" t="str">
        <x:v>HEART TROOPS</x:v>
      </x:c>
      <x:c r="E33" s="69" t="str">
        <x:v>Celestine Blue Shirt</x:v>
      </x:c>
      <x:c r="F33" s="69" t="str">
        <x:v>Shirt</x:v>
      </x:c>
      <x:c r="G33" s="69" t="str">
        <x:v>Dewasa</x:v>
      </x:c>
      <x:c r="H33" s="69" t="str">
        <x:v>Baru</x:v>
      </x:c>
      <x:c r="I33" s="84" t="n">
        <x:f>MINIFS(VARIAN_STOK!$H$2:$H$333,VARIAN_STOK!$D$2:$D$333,$A33)</x:f>
        <x:v>595000</x:v>
      </x:c>
      <x:c r="J33" s="84" t="n">
        <x:f>MAXIFS(VARIAN_STOK!$H$2:$H$333,VARIAN_STOK!$D$2:$D$333,$A33)</x:f>
        <x:v>595000</x:v>
      </x:c>
      <x:c r="K33" s="90" t="n">
        <x:f>SUMIF(VARIAN_STOK!$D$2:$D$333,$A33,VARIAN_STOK!$I$2:$I$333)</x:f>
        <x:v>1</x:v>
      </x:c>
      <x:c r="L33" s="90" t="n">
        <x:f>COUNTIF(VARIAN_STOK!$D$2:$D$333,$A33)</x:f>
        <x:v>1</x:v>
      </x:c>
      <x:c r="M33" s="69" t="str"/>
      <x:c r="N33" s="69" t="str">
        <x:v>S-M</x:v>
      </x:c>
      <x:c r="O33" s="69" t="str"/>
      <x:c r="P33" s="69" t="str"/>
      <x:c r="Q33" s="69" t="str"/>
      <x:c r="R33" s="69" t="str"/>
      <x:c r="S33" s="69" t="str"/>
      <x:c r="T33" s="69" t="str"/>
      <x:c r="U33" s="69" t="str">
        <x:v>Tidak</x:v>
      </x:c>
      <x:c r="V33" s="69" t="str">
        <x:v>Tidak</x:v>
      </x:c>
      <x:c r="W33" s="69" t="str">
        <x:v>Aktif</x:v>
      </x:c>
      <x:c r="X33" s="70" t="str"/>
    </x:row>
    <x:row r="34">
      <x:c r="A34" s="96" t="str">
        <x:v>PRD0033</x:v>
      </x:c>
      <x:c r="B34" s="69" t="str">
        <x:v>heart-troops-celestine-stormy-cream-shirt</x:v>
      </x:c>
      <x:c r="C34" s="102" t="n">
        <x:v>3</x:v>
      </x:c>
      <x:c r="D34" s="108" t="str">
        <x:v>HEART TROOPS</x:v>
      </x:c>
      <x:c r="E34" s="69" t="str">
        <x:v>Celestine Stormy Cream Shirt</x:v>
      </x:c>
      <x:c r="F34" s="69" t="str">
        <x:v>Shirt</x:v>
      </x:c>
      <x:c r="G34" s="69" t="str">
        <x:v>Dewasa</x:v>
      </x:c>
      <x:c r="H34" s="69" t="str">
        <x:v>Baru</x:v>
      </x:c>
      <x:c r="I34" s="84" t="n">
        <x:f>MINIFS(VARIAN_STOK!$H$2:$H$333,VARIAN_STOK!$D$2:$D$333,$A34)</x:f>
        <x:v>595000</x:v>
      </x:c>
      <x:c r="J34" s="84" t="n">
        <x:f>MAXIFS(VARIAN_STOK!$H$2:$H$333,VARIAN_STOK!$D$2:$D$333,$A34)</x:f>
        <x:v>595000</x:v>
      </x:c>
      <x:c r="K34" s="90" t="n">
        <x:f>SUMIF(VARIAN_STOK!$D$2:$D$333,$A34,VARIAN_STOK!$I$2:$I$333)</x:f>
        <x:v>3</x:v>
      </x:c>
      <x:c r="L34" s="90" t="n">
        <x:f>COUNTIF(VARIAN_STOK!$D$2:$D$333,$A34)</x:f>
        <x:v>2</x:v>
      </x:c>
      <x:c r="M34" s="69" t="str"/>
      <x:c r="N34" s="69" t="str">
        <x:v>L-XL, S-M</x:v>
      </x:c>
      <x:c r="O34" s="69" t="str"/>
      <x:c r="P34" s="69" t="str"/>
      <x:c r="Q34" s="69" t="str"/>
      <x:c r="R34" s="69" t="str"/>
      <x:c r="S34" s="69" t="str"/>
      <x:c r="T34" s="69" t="str"/>
      <x:c r="U34" s="69" t="str">
        <x:v>Tidak</x:v>
      </x:c>
      <x:c r="V34" s="69" t="str">
        <x:v>Tidak</x:v>
      </x:c>
      <x:c r="W34" s="69" t="str">
        <x:v>Aktif</x:v>
      </x:c>
      <x:c r="X34" s="70" t="str"/>
    </x:row>
    <x:row r="35">
      <x:c r="A35" s="96" t="str">
        <x:v>PRD0034</x:v>
      </x:c>
      <x:c r="B35" s="69" t="str">
        <x:v>heart-troops-gaharu-koko</x:v>
      </x:c>
      <x:c r="C35" s="102" t="n">
        <x:v>3</x:v>
      </x:c>
      <x:c r="D35" s="108" t="str">
        <x:v>HEART TROOPS</x:v>
      </x:c>
      <x:c r="E35" s="69" t="str">
        <x:v>Gaharu Koko</x:v>
      </x:c>
      <x:c r="F35" s="69" t="str">
        <x:v>Shirt</x:v>
      </x:c>
      <x:c r="G35" s="69" t="str">
        <x:v>Dewasa</x:v>
      </x:c>
      <x:c r="H35" s="69" t="str">
        <x:v>Baru</x:v>
      </x:c>
      <x:c r="I35" s="84" t="n">
        <x:f>MINIFS(VARIAN_STOK!$H$2:$H$333,VARIAN_STOK!$D$2:$D$333,$A35)</x:f>
        <x:v>579000</x:v>
      </x:c>
      <x:c r="J35" s="84" t="n">
        <x:f>MAXIFS(VARIAN_STOK!$H$2:$H$333,VARIAN_STOK!$D$2:$D$333,$A35)</x:f>
        <x:v>579000</x:v>
      </x:c>
      <x:c r="K35" s="90" t="n">
        <x:f>SUMIF(VARIAN_STOK!$D$2:$D$333,$A35,VARIAN_STOK!$I$2:$I$333)</x:f>
        <x:v>1</x:v>
      </x:c>
      <x:c r="L35" s="90" t="n">
        <x:f>COUNTIF(VARIAN_STOK!$D$2:$D$333,$A35)</x:f>
        <x:v>1</x:v>
      </x:c>
      <x:c r="M35" s="69" t="str"/>
      <x:c r="N35" s="69" t="str">
        <x:v>L</x:v>
      </x:c>
      <x:c r="O35" s="69" t="str"/>
      <x:c r="P35" s="69" t="str"/>
      <x:c r="Q35" s="69" t="str"/>
      <x:c r="R35" s="69" t="str"/>
      <x:c r="S35" s="69" t="str"/>
      <x:c r="T35" s="69" t="str"/>
      <x:c r="U35" s="69" t="str">
        <x:v>Tidak</x:v>
      </x:c>
      <x:c r="V35" s="69" t="str">
        <x:v>Tidak</x:v>
      </x:c>
      <x:c r="W35" s="69" t="str">
        <x:v>Aktif</x:v>
      </x:c>
      <x:c r="X35" s="70" t="str"/>
    </x:row>
    <x:row r="36">
      <x:c r="A36" s="96" t="str">
        <x:v>PRD0035</x:v>
      </x:c>
      <x:c r="B36" s="69" t="str">
        <x:v>heart-troops-gaharu-koko-kids</x:v>
      </x:c>
      <x:c r="C36" s="102" t="n">
        <x:v>3</x:v>
      </x:c>
      <x:c r="D36" s="108" t="str">
        <x:v>HEART TROOPS</x:v>
      </x:c>
      <x:c r="E36" s="69" t="str">
        <x:v>Gaharu Koko Kids</x:v>
      </x:c>
      <x:c r="F36" s="69" t="str">
        <x:v>Shirt</x:v>
      </x:c>
      <x:c r="G36" s="69" t="str">
        <x:v>Anak</x:v>
      </x:c>
      <x:c r="H36" s="69" t="str">
        <x:v>Baru</x:v>
      </x:c>
      <x:c r="I36" s="84" t="n">
        <x:f>MINIFS(VARIAN_STOK!$H$2:$H$333,VARIAN_STOK!$D$2:$D$333,$A36)</x:f>
        <x:v>449000</x:v>
      </x:c>
      <x:c r="J36" s="84" t="n">
        <x:f>MAXIFS(VARIAN_STOK!$H$2:$H$333,VARIAN_STOK!$D$2:$D$333,$A36)</x:f>
        <x:v>449000</x:v>
      </x:c>
      <x:c r="K36" s="90" t="n">
        <x:f>SUMIF(VARIAN_STOK!$D$2:$D$333,$A36,VARIAN_STOK!$I$2:$I$333)</x:f>
        <x:v>6</x:v>
      </x:c>
      <x:c r="L36" s="90" t="n">
        <x:f>COUNTIF(VARIAN_STOK!$D$2:$D$333,$A36)</x:f>
        <x:v>5</x:v>
      </x:c>
      <x:c r="M36" s="69" t="str"/>
      <x:c r="N36" s="69" t="str">
        <x:v>11-12y, 3-4y, 5-6y, 7-8y, 9-10y</x:v>
      </x:c>
      <x:c r="O36" s="69" t="str"/>
      <x:c r="P36" s="69" t="str"/>
      <x:c r="Q36" s="69" t="str"/>
      <x:c r="R36" s="69" t="str"/>
      <x:c r="S36" s="69" t="str"/>
      <x:c r="T36" s="69" t="str"/>
      <x:c r="U36" s="69" t="str">
        <x:v>Tidak</x:v>
      </x:c>
      <x:c r="V36" s="69" t="str">
        <x:v>Tidak</x:v>
      </x:c>
      <x:c r="W36" s="69" t="str">
        <x:v>Aktif</x:v>
      </x:c>
      <x:c r="X36" s="70" t="str"/>
    </x:row>
    <x:row r="37">
      <x:c r="A37" s="96" t="str">
        <x:v>PRD0036</x:v>
      </x:c>
      <x:c r="B37" s="69" t="str">
        <x:v>heart-troops-jati-koko-kids</x:v>
      </x:c>
      <x:c r="C37" s="102" t="n">
        <x:v>3</x:v>
      </x:c>
      <x:c r="D37" s="108" t="str">
        <x:v>HEART TROOPS</x:v>
      </x:c>
      <x:c r="E37" s="69" t="str">
        <x:v>Jati Koko Kids</x:v>
      </x:c>
      <x:c r="F37" s="69" t="str">
        <x:v>Shirt</x:v>
      </x:c>
      <x:c r="G37" s="69" t="str">
        <x:v>Anak</x:v>
      </x:c>
      <x:c r="H37" s="69" t="str">
        <x:v>Baru</x:v>
      </x:c>
      <x:c r="I37" s="84" t="n">
        <x:f>MINIFS(VARIAN_STOK!$H$2:$H$333,VARIAN_STOK!$D$2:$D$333,$A37)</x:f>
        <x:v>449000</x:v>
      </x:c>
      <x:c r="J37" s="84" t="n">
        <x:f>MAXIFS(VARIAN_STOK!$H$2:$H$333,VARIAN_STOK!$D$2:$D$333,$A37)</x:f>
        <x:v>449000</x:v>
      </x:c>
      <x:c r="K37" s="90" t="n">
        <x:f>SUMIF(VARIAN_STOK!$D$2:$D$333,$A37,VARIAN_STOK!$I$2:$I$333)</x:f>
        <x:v>3</x:v>
      </x:c>
      <x:c r="L37" s="90" t="n">
        <x:f>COUNTIF(VARIAN_STOK!$D$2:$D$333,$A37)</x:f>
        <x:v>2</x:v>
      </x:c>
      <x:c r="M37" s="69" t="str"/>
      <x:c r="N37" s="69" t="str">
        <x:v>11-12y, 9-10y</x:v>
      </x:c>
      <x:c r="O37" s="69" t="str"/>
      <x:c r="P37" s="69" t="str"/>
      <x:c r="Q37" s="69" t="str"/>
      <x:c r="R37" s="69" t="str"/>
      <x:c r="S37" s="69" t="str"/>
      <x:c r="T37" s="69" t="str"/>
      <x:c r="U37" s="69" t="str">
        <x:v>Tidak</x:v>
      </x:c>
      <x:c r="V37" s="69" t="str">
        <x:v>Tidak</x:v>
      </x:c>
      <x:c r="W37" s="69" t="str">
        <x:v>Aktif</x:v>
      </x:c>
      <x:c r="X37" s="70" t="str"/>
    </x:row>
    <x:row r="38">
      <x:c r="A38" s="96" t="str">
        <x:v>PRD0037</x:v>
      </x:c>
      <x:c r="B38" s="69" t="str">
        <x:v>heart-troops-majori-shirt</x:v>
      </x:c>
      <x:c r="C38" s="102" t="n">
        <x:v>3</x:v>
      </x:c>
      <x:c r="D38" s="108" t="str">
        <x:v>HEART TROOPS</x:v>
      </x:c>
      <x:c r="E38" s="69" t="str">
        <x:v>Majori Shirt</x:v>
      </x:c>
      <x:c r="F38" s="69" t="str">
        <x:v>Shirt</x:v>
      </x:c>
      <x:c r="G38" s="69" t="str">
        <x:v>Dewasa</x:v>
      </x:c>
      <x:c r="H38" s="69" t="str">
        <x:v>Baru</x:v>
      </x:c>
      <x:c r="I38" s="84" t="n">
        <x:f>MINIFS(VARIAN_STOK!$H$2:$H$333,VARIAN_STOK!$D$2:$D$333,$A38)</x:f>
        <x:v>525000</x:v>
      </x:c>
      <x:c r="J38" s="84" t="n">
        <x:f>MAXIFS(VARIAN_STOK!$H$2:$H$333,VARIAN_STOK!$D$2:$D$333,$A38)</x:f>
        <x:v>525000</x:v>
      </x:c>
      <x:c r="K38" s="90" t="n">
        <x:f>SUMIF(VARIAN_STOK!$D$2:$D$333,$A38,VARIAN_STOK!$I$2:$I$333)</x:f>
        <x:v>2</x:v>
      </x:c>
      <x:c r="L38" s="90" t="n">
        <x:f>COUNTIF(VARIAN_STOK!$D$2:$D$333,$A38)</x:f>
        <x:v>1</x:v>
      </x:c>
      <x:c r="M38" s="69" t="str">
        <x:v>Blue</x:v>
      </x:c>
      <x:c r="N38" s="69" t="str">
        <x:v>L-XL</x:v>
      </x:c>
      <x:c r="O38" s="69" t="str"/>
      <x:c r="P38" s="69" t="str"/>
      <x:c r="Q38" s="69" t="str"/>
      <x:c r="R38" s="69" t="str"/>
      <x:c r="S38" s="69" t="str"/>
      <x:c r="T38" s="69" t="str"/>
      <x:c r="U38" s="69" t="str">
        <x:v>Tidak</x:v>
      </x:c>
      <x:c r="V38" s="69" t="str">
        <x:v>Tidak</x:v>
      </x:c>
      <x:c r="W38" s="69" t="str">
        <x:v>Aktif</x:v>
      </x:c>
      <x:c r="X38" s="70" t="str"/>
    </x:row>
    <x:row r="39">
      <x:c r="A39" s="96" t="str">
        <x:v>PRD0038</x:v>
      </x:c>
      <x:c r="B39" s="69" t="str">
        <x:v>heart-troops-myra-top</x:v>
      </x:c>
      <x:c r="C39" s="102" t="n">
        <x:v>3</x:v>
      </x:c>
      <x:c r="D39" s="108" t="str">
        <x:v>HEART TROOPS</x:v>
      </x:c>
      <x:c r="E39" s="69" t="str">
        <x:v>Myra Top</x:v>
      </x:c>
      <x:c r="F39" s="69" t="str">
        <x:v>Shirt</x:v>
      </x:c>
      <x:c r="G39" s="69" t="str">
        <x:v>Dewasa</x:v>
      </x:c>
      <x:c r="H39" s="69" t="str">
        <x:v>Baru</x:v>
      </x:c>
      <x:c r="I39" s="84" t="n">
        <x:f>MINIFS(VARIAN_STOK!$H$2:$H$333,VARIAN_STOK!$D$2:$D$333,$A39)</x:f>
        <x:v>799000</x:v>
      </x:c>
      <x:c r="J39" s="84" t="n">
        <x:f>MAXIFS(VARIAN_STOK!$H$2:$H$333,VARIAN_STOK!$D$2:$D$333,$A39)</x:f>
        <x:v>799000</x:v>
      </x:c>
      <x:c r="K39" s="90" t="n">
        <x:f>SUMIF(VARIAN_STOK!$D$2:$D$333,$A39,VARIAN_STOK!$I$2:$I$333)</x:f>
        <x:v>4</x:v>
      </x:c>
      <x:c r="L39" s="90" t="n">
        <x:f>COUNTIF(VARIAN_STOK!$D$2:$D$333,$A39)</x:f>
        <x:v>2</x:v>
      </x:c>
      <x:c r="M39" s="69" t="str"/>
      <x:c r="N39" s="69" t="str">
        <x:v>L-XL, S-M</x:v>
      </x:c>
      <x:c r="O39" s="69" t="str"/>
      <x:c r="P39" s="69" t="str"/>
      <x:c r="Q39" s="69" t="str"/>
      <x:c r="R39" s="69" t="str"/>
      <x:c r="S39" s="69" t="str"/>
      <x:c r="T39" s="69" t="str"/>
      <x:c r="U39" s="69" t="str">
        <x:v>Tidak</x:v>
      </x:c>
      <x:c r="V39" s="69" t="str">
        <x:v>Tidak</x:v>
      </x:c>
      <x:c r="W39" s="69" t="str">
        <x:v>Aktif</x:v>
      </x:c>
      <x:c r="X39" s="70" t="str"/>
    </x:row>
    <x:row r="40">
      <x:c r="A40" s="96" t="str">
        <x:v>PRD0039</x:v>
      </x:c>
      <x:c r="B40" s="69" t="str">
        <x:v>heart-troops-nayo-koko-shirt-kids</x:v>
      </x:c>
      <x:c r="C40" s="102" t="n">
        <x:v>3</x:v>
      </x:c>
      <x:c r="D40" s="108" t="str">
        <x:v>HEART TROOPS</x:v>
      </x:c>
      <x:c r="E40" s="69" t="str">
        <x:v>Nayo Koko Shirt Kids</x:v>
      </x:c>
      <x:c r="F40" s="69" t="str">
        <x:v>Shirt</x:v>
      </x:c>
      <x:c r="G40" s="69" t="str">
        <x:v>Anak</x:v>
      </x:c>
      <x:c r="H40" s="69" t="str">
        <x:v>Baru</x:v>
      </x:c>
      <x:c r="I40" s="84" t="n">
        <x:f>MINIFS(VARIAN_STOK!$H$2:$H$333,VARIAN_STOK!$D$2:$D$333,$A40)</x:f>
        <x:v>389000</x:v>
      </x:c>
      <x:c r="J40" s="84" t="n">
        <x:f>MAXIFS(VARIAN_STOK!$H$2:$H$333,VARIAN_STOK!$D$2:$D$333,$A40)</x:f>
        <x:v>389000</x:v>
      </x:c>
      <x:c r="K40" s="90" t="n">
        <x:f>SUMIF(VARIAN_STOK!$D$2:$D$333,$A40,VARIAN_STOK!$I$2:$I$333)</x:f>
        <x:v>6</x:v>
      </x:c>
      <x:c r="L40" s="90" t="n">
        <x:f>COUNTIF(VARIAN_STOK!$D$2:$D$333,$A40)</x:f>
        <x:v>5</x:v>
      </x:c>
      <x:c r="M40" s="69" t="str"/>
      <x:c r="N40" s="69" t="str">
        <x:v>10, 12, 4, 6, 8</x:v>
      </x:c>
      <x:c r="O40" s="69" t="str"/>
      <x:c r="P40" s="69" t="str"/>
      <x:c r="Q40" s="69" t="str"/>
      <x:c r="R40" s="69" t="str"/>
      <x:c r="S40" s="69" t="str"/>
      <x:c r="T40" s="69" t="str"/>
      <x:c r="U40" s="69" t="str">
        <x:v>Tidak</x:v>
      </x:c>
      <x:c r="V40" s="69" t="str">
        <x:v>Tidak</x:v>
      </x:c>
      <x:c r="W40" s="69" t="str">
        <x:v>Aktif</x:v>
      </x:c>
      <x:c r="X40" s="70" t="str"/>
    </x:row>
    <x:row r="41">
      <x:c r="A41" s="96" t="str">
        <x:v>PRD0040</x:v>
      </x:c>
      <x:c r="B41" s="69" t="str">
        <x:v>heart-troops-niaz-koko-kids</x:v>
      </x:c>
      <x:c r="C41" s="102" t="n">
        <x:v>3</x:v>
      </x:c>
      <x:c r="D41" s="108" t="str">
        <x:v>HEART TROOPS</x:v>
      </x:c>
      <x:c r="E41" s="69" t="str">
        <x:v>Niaz Koko Kids</x:v>
      </x:c>
      <x:c r="F41" s="69" t="str">
        <x:v>Shirt</x:v>
      </x:c>
      <x:c r="G41" s="69" t="str">
        <x:v>Anak</x:v>
      </x:c>
      <x:c r="H41" s="69" t="str">
        <x:v>Baru</x:v>
      </x:c>
      <x:c r="I41" s="84" t="n">
        <x:f>MINIFS(VARIAN_STOK!$H$2:$H$333,VARIAN_STOK!$D$2:$D$333,$A41)</x:f>
        <x:v>399000</x:v>
      </x:c>
      <x:c r="J41" s="84" t="n">
        <x:f>MAXIFS(VARIAN_STOK!$H$2:$H$333,VARIAN_STOK!$D$2:$D$333,$A41)</x:f>
        <x:v>399000</x:v>
      </x:c>
      <x:c r="K41" s="90" t="n">
        <x:f>SUMIF(VARIAN_STOK!$D$2:$D$333,$A41,VARIAN_STOK!$I$2:$I$333)</x:f>
        <x:v>2</x:v>
      </x:c>
      <x:c r="L41" s="90" t="n">
        <x:f>COUNTIF(VARIAN_STOK!$D$2:$D$333,$A41)</x:f>
        <x:v>2</x:v>
      </x:c>
      <x:c r="M41" s="69" t="str"/>
      <x:c r="N41" s="69" t="str">
        <x:v>7-8, 9-10</x:v>
      </x:c>
      <x:c r="O41" s="69" t="str"/>
      <x:c r="P41" s="69" t="str"/>
      <x:c r="Q41" s="69" t="str"/>
      <x:c r="R41" s="69" t="str"/>
      <x:c r="S41" s="69" t="str"/>
      <x:c r="T41" s="69" t="str"/>
      <x:c r="U41" s="69" t="str">
        <x:v>Tidak</x:v>
      </x:c>
      <x:c r="V41" s="69" t="str">
        <x:v>Tidak</x:v>
      </x:c>
      <x:c r="W41" s="69" t="str">
        <x:v>Aktif</x:v>
      </x:c>
      <x:c r="X41" s="70" t="str"/>
    </x:row>
    <x:row r="42">
      <x:c r="A42" s="96" t="str">
        <x:v>PRD0041</x:v>
      </x:c>
      <x:c r="B42" s="69" t="str">
        <x:v>heart-troops-reyan-koko-dewasa</x:v>
      </x:c>
      <x:c r="C42" s="102" t="n">
        <x:v>3</x:v>
      </x:c>
      <x:c r="D42" s="108" t="str">
        <x:v>HEART TROOPS</x:v>
      </x:c>
      <x:c r="E42" s="69" t="str">
        <x:v>Reyan Koko Dewasa</x:v>
      </x:c>
      <x:c r="F42" s="69" t="str">
        <x:v>Shirt</x:v>
      </x:c>
      <x:c r="G42" s="69" t="str">
        <x:v>Dewasa</x:v>
      </x:c>
      <x:c r="H42" s="69" t="str">
        <x:v>Baru</x:v>
      </x:c>
      <x:c r="I42" s="84" t="n">
        <x:f>MINIFS(VARIAN_STOK!$H$2:$H$333,VARIAN_STOK!$D$2:$D$333,$A42)</x:f>
        <x:v>489000</x:v>
      </x:c>
      <x:c r="J42" s="84" t="n">
        <x:f>MAXIFS(VARIAN_STOK!$H$2:$H$333,VARIAN_STOK!$D$2:$D$333,$A42)</x:f>
        <x:v>489000</x:v>
      </x:c>
      <x:c r="K42" s="90" t="n">
        <x:f>SUMIF(VARIAN_STOK!$D$2:$D$333,$A42,VARIAN_STOK!$I$2:$I$333)</x:f>
        <x:v>4</x:v>
      </x:c>
      <x:c r="L42" s="90" t="n">
        <x:f>COUNTIF(VARIAN_STOK!$D$2:$D$333,$A42)</x:f>
        <x:v>2</x:v>
      </x:c>
      <x:c r="M42" s="69" t="str"/>
      <x:c r="N42" s="69" t="str">
        <x:v>S, XL</x:v>
      </x:c>
      <x:c r="O42" s="69" t="str"/>
      <x:c r="P42" s="69" t="str"/>
      <x:c r="Q42" s="69" t="str"/>
      <x:c r="R42" s="69" t="str"/>
      <x:c r="S42" s="69" t="str"/>
      <x:c r="T42" s="69" t="str"/>
      <x:c r="U42" s="69" t="str">
        <x:v>Tidak</x:v>
      </x:c>
      <x:c r="V42" s="69" t="str">
        <x:v>Tidak</x:v>
      </x:c>
      <x:c r="W42" s="69" t="str">
        <x:v>Aktif</x:v>
      </x:c>
      <x:c r="X42" s="70" t="str"/>
    </x:row>
    <x:row r="43">
      <x:c r="A43" s="96" t="str">
        <x:v>PRD0042</x:v>
      </x:c>
      <x:c r="B43" s="69" t="str">
        <x:v>heart-troops-reyan-koko-kids</x:v>
      </x:c>
      <x:c r="C43" s="102" t="n">
        <x:v>3</x:v>
      </x:c>
      <x:c r="D43" s="108" t="str">
        <x:v>HEART TROOPS</x:v>
      </x:c>
      <x:c r="E43" s="69" t="str">
        <x:v>Reyan Koko Kids</x:v>
      </x:c>
      <x:c r="F43" s="69" t="str">
        <x:v>Shirt</x:v>
      </x:c>
      <x:c r="G43" s="69" t="str">
        <x:v>Anak</x:v>
      </x:c>
      <x:c r="H43" s="69" t="str">
        <x:v>Baru</x:v>
      </x:c>
      <x:c r="I43" s="84" t="n">
        <x:f>MINIFS(VARIAN_STOK!$H$2:$H$333,VARIAN_STOK!$D$2:$D$333,$A43)</x:f>
        <x:v>399000</x:v>
      </x:c>
      <x:c r="J43" s="84" t="n">
        <x:f>MAXIFS(VARIAN_STOK!$H$2:$H$333,VARIAN_STOK!$D$2:$D$333,$A43)</x:f>
        <x:v>399000</x:v>
      </x:c>
      <x:c r="K43" s="90" t="n">
        <x:f>SUMIF(VARIAN_STOK!$D$2:$D$333,$A43,VARIAN_STOK!$I$2:$I$333)</x:f>
        <x:v>14</x:v>
      </x:c>
      <x:c r="L43" s="90" t="n">
        <x:f>COUNTIF(VARIAN_STOK!$D$2:$D$333,$A43)</x:f>
        <x:v>4</x:v>
      </x:c>
      <x:c r="M43" s="69" t="str"/>
      <x:c r="N43" s="69" t="str">
        <x:v>3-4, 5-6, 7-8, 9-10</x:v>
      </x:c>
      <x:c r="O43" s="69" t="str"/>
      <x:c r="P43" s="69" t="str"/>
      <x:c r="Q43" s="69" t="str"/>
      <x:c r="R43" s="69" t="str"/>
      <x:c r="S43" s="69" t="str"/>
      <x:c r="T43" s="69" t="str"/>
      <x:c r="U43" s="69" t="str">
        <x:v>Tidak</x:v>
      </x:c>
      <x:c r="V43" s="69" t="str">
        <x:v>Tidak</x:v>
      </x:c>
      <x:c r="W43" s="69" t="str">
        <x:v>Aktif</x:v>
      </x:c>
      <x:c r="X43" s="70" t="str"/>
    </x:row>
    <x:row r="44">
      <x:c r="A44" s="96" t="str">
        <x:v>PRD0043</x:v>
      </x:c>
      <x:c r="B44" s="69" t="str">
        <x:v>heart-troops-zora-shirt</x:v>
      </x:c>
      <x:c r="C44" s="102" t="n">
        <x:v>3</x:v>
      </x:c>
      <x:c r="D44" s="108" t="str">
        <x:v>HEART TROOPS</x:v>
      </x:c>
      <x:c r="E44" s="69" t="str">
        <x:v>Zora Shirt</x:v>
      </x:c>
      <x:c r="F44" s="69" t="str">
        <x:v>Shirt</x:v>
      </x:c>
      <x:c r="G44" s="69" t="str">
        <x:v>Dewasa</x:v>
      </x:c>
      <x:c r="H44" s="69" t="str">
        <x:v>Baru</x:v>
      </x:c>
      <x:c r="I44" s="84" t="n">
        <x:f>MINIFS(VARIAN_STOK!$H$2:$H$333,VARIAN_STOK!$D$2:$D$333,$A44)</x:f>
        <x:v>495000</x:v>
      </x:c>
      <x:c r="J44" s="84" t="n">
        <x:f>MAXIFS(VARIAN_STOK!$H$2:$H$333,VARIAN_STOK!$D$2:$D$333,$A44)</x:f>
        <x:v>495000</x:v>
      </x:c>
      <x:c r="K44" s="90" t="n">
        <x:f>SUMIF(VARIAN_STOK!$D$2:$D$333,$A44,VARIAN_STOK!$I$2:$I$333)</x:f>
        <x:v>1</x:v>
      </x:c>
      <x:c r="L44" s="90" t="n">
        <x:f>COUNTIF(VARIAN_STOK!$D$2:$D$333,$A44)</x:f>
        <x:v>1</x:v>
      </x:c>
      <x:c r="M44" s="69" t="str">
        <x:v>Blue</x:v>
      </x:c>
      <x:c r="N44" s="69" t="str"/>
      <x:c r="O44" s="69" t="str"/>
      <x:c r="P44" s="69" t="str"/>
      <x:c r="Q44" s="69" t="str"/>
      <x:c r="R44" s="69" t="str"/>
      <x:c r="S44" s="69" t="str"/>
      <x:c r="T44" s="69" t="str"/>
      <x:c r="U44" s="69" t="str">
        <x:v>Tidak</x:v>
      </x:c>
      <x:c r="V44" s="69" t="str">
        <x:v>Tidak</x:v>
      </x:c>
      <x:c r="W44" s="69" t="str">
        <x:v>Aktif</x:v>
      </x:c>
      <x:c r="X44" s="70" t="str"/>
    </x:row>
    <x:row r="45">
      <x:c r="A45" s="96" t="str">
        <x:v>PRD0044</x:v>
      </x:c>
      <x:c r="B45" s="69" t="str">
        <x:v>puru-kambera-classy-plain-blouse</x:v>
      </x:c>
      <x:c r="C45" s="102" t="n">
        <x:v>4</x:v>
      </x:c>
      <x:c r="D45" s="108" t="str">
        <x:v>PURU KAMBERA</x:v>
      </x:c>
      <x:c r="E45" s="69" t="str">
        <x:v>Classy Plain Blouse</x:v>
      </x:c>
      <x:c r="F45" s="69" t="str">
        <x:v>Blouse</x:v>
      </x:c>
      <x:c r="G45" s="69" t="str">
        <x:v>Dewasa</x:v>
      </x:c>
      <x:c r="H45" s="69" t="str">
        <x:v>Baru</x:v>
      </x:c>
      <x:c r="I45" s="84" t="n">
        <x:f>MINIFS(VARIAN_STOK!$H$2:$H$333,VARIAN_STOK!$D$2:$D$333,$A45)</x:f>
        <x:v>300000</x:v>
      </x:c>
      <x:c r="J45" s="84" t="n">
        <x:f>MAXIFS(VARIAN_STOK!$H$2:$H$333,VARIAN_STOK!$D$2:$D$333,$A45)</x:f>
        <x:v>300000</x:v>
      </x:c>
      <x:c r="K45" s="90" t="n">
        <x:f>SUMIF(VARIAN_STOK!$D$2:$D$333,$A45,VARIAN_STOK!$I$2:$I$333)</x:f>
        <x:v>1</x:v>
      </x:c>
      <x:c r="L45" s="90" t="n">
        <x:f>COUNTIF(VARIAN_STOK!$D$2:$D$333,$A45)</x:f>
        <x:v>1</x:v>
      </x:c>
      <x:c r="M45" s="69" t="str"/>
      <x:c r="N45" s="69" t="str">
        <x:v>L-XL</x:v>
      </x:c>
      <x:c r="O45" s="69" t="str"/>
      <x:c r="P45" s="69" t="str"/>
      <x:c r="Q45" s="69" t="str"/>
      <x:c r="R45" s="69" t="str"/>
      <x:c r="S45" s="69" t="str"/>
      <x:c r="T45" s="69" t="str"/>
      <x:c r="U45" s="69" t="str">
        <x:v>Tidak</x:v>
      </x:c>
      <x:c r="V45" s="69" t="str">
        <x:v>Tidak</x:v>
      </x:c>
      <x:c r="W45" s="69" t="str">
        <x:v>Aktif</x:v>
      </x:c>
      <x:c r="X45" s="70" t="str"/>
    </x:row>
    <x:row r="46">
      <x:c r="A46" s="96" t="str">
        <x:v>PRD0045</x:v>
      </x:c>
      <x:c r="B46" s="69" t="str">
        <x:v>puru-kambera-future-plain-blouse</x:v>
      </x:c>
      <x:c r="C46" s="102" t="n">
        <x:v>4</x:v>
      </x:c>
      <x:c r="D46" s="108" t="str">
        <x:v>PURU KAMBERA</x:v>
      </x:c>
      <x:c r="E46" s="69" t="str">
        <x:v>Future Plain Blouse</x:v>
      </x:c>
      <x:c r="F46" s="69" t="str">
        <x:v>Blouse</x:v>
      </x:c>
      <x:c r="G46" s="69" t="str">
        <x:v>Dewasa</x:v>
      </x:c>
      <x:c r="H46" s="69" t="str">
        <x:v>Baru</x:v>
      </x:c>
      <x:c r="I46" s="84" t="n">
        <x:f>MINIFS(VARIAN_STOK!$H$2:$H$333,VARIAN_STOK!$D$2:$D$333,$A46)</x:f>
        <x:v>300000</x:v>
      </x:c>
      <x:c r="J46" s="84" t="n">
        <x:f>MAXIFS(VARIAN_STOK!$H$2:$H$333,VARIAN_STOK!$D$2:$D$333,$A46)</x:f>
        <x:v>300000</x:v>
      </x:c>
      <x:c r="K46" s="90" t="n">
        <x:f>SUMIF(VARIAN_STOK!$D$2:$D$333,$A46,VARIAN_STOK!$I$2:$I$333)</x:f>
        <x:v>3</x:v>
      </x:c>
      <x:c r="L46" s="90" t="n">
        <x:f>COUNTIF(VARIAN_STOK!$D$2:$D$333,$A46)</x:f>
        <x:v>2</x:v>
      </x:c>
      <x:c r="M46" s="69" t="str"/>
      <x:c r="N46" s="69" t="str">
        <x:v>L-XL, S-M</x:v>
      </x:c>
      <x:c r="O46" s="69" t="str"/>
      <x:c r="P46" s="69" t="str"/>
      <x:c r="Q46" s="69" t="str"/>
      <x:c r="R46" s="69" t="str"/>
      <x:c r="S46" s="69" t="str"/>
      <x:c r="T46" s="69" t="str"/>
      <x:c r="U46" s="69" t="str">
        <x:v>Tidak</x:v>
      </x:c>
      <x:c r="V46" s="69" t="str">
        <x:v>Tidak</x:v>
      </x:c>
      <x:c r="W46" s="69" t="str">
        <x:v>Aktif</x:v>
      </x:c>
      <x:c r="X46" s="70" t="str"/>
    </x:row>
    <x:row r="47">
      <x:c r="A47" s="96" t="str">
        <x:v>PRD0046</x:v>
      </x:c>
      <x:c r="B47" s="69" t="str">
        <x:v>puru-kambera-lune-blouse-serut</x:v>
      </x:c>
      <x:c r="C47" s="102" t="n">
        <x:v>4</x:v>
      </x:c>
      <x:c r="D47" s="108" t="str">
        <x:v>PURU KAMBERA</x:v>
      </x:c>
      <x:c r="E47" s="69" t="str">
        <x:v>Lune Blouse Serut</x:v>
      </x:c>
      <x:c r="F47" s="69" t="str">
        <x:v>Blouse</x:v>
      </x:c>
      <x:c r="G47" s="69" t="str">
        <x:v>Dewasa</x:v>
      </x:c>
      <x:c r="H47" s="69" t="str">
        <x:v>Baru</x:v>
      </x:c>
      <x:c r="I47" s="84" t="n">
        <x:f>MINIFS(VARIAN_STOK!$H$2:$H$333,VARIAN_STOK!$D$2:$D$333,$A47)</x:f>
        <x:v>416000</x:v>
      </x:c>
      <x:c r="J47" s="84" t="n">
        <x:f>MAXIFS(VARIAN_STOK!$H$2:$H$333,VARIAN_STOK!$D$2:$D$333,$A47)</x:f>
        <x:v>416000</x:v>
      </x:c>
      <x:c r="K47" s="90" t="n">
        <x:f>SUMIF(VARIAN_STOK!$D$2:$D$333,$A47,VARIAN_STOK!$I$2:$I$333)</x:f>
        <x:v>2</x:v>
      </x:c>
      <x:c r="L47" s="90" t="n">
        <x:f>COUNTIF(VARIAN_STOK!$D$2:$D$333,$A47)</x:f>
        <x:v>1</x:v>
      </x:c>
      <x:c r="M47" s="69" t="str"/>
      <x:c r="N47" s="69" t="str"/>
      <x:c r="O47" s="69" t="str"/>
      <x:c r="P47" s="69" t="str"/>
      <x:c r="Q47" s="69" t="str"/>
      <x:c r="R47" s="69" t="str"/>
      <x:c r="S47" s="69" t="str"/>
      <x:c r="T47" s="69" t="str"/>
      <x:c r="U47" s="69" t="str">
        <x:v>Tidak</x:v>
      </x:c>
      <x:c r="V47" s="69" t="str">
        <x:v>Tidak</x:v>
      </x:c>
      <x:c r="W47" s="69" t="str">
        <x:v>Aktif</x:v>
      </x:c>
      <x:c r="X47" s="70" t="str"/>
    </x:row>
    <x:row r="48">
      <x:c r="A48" s="96" t="str">
        <x:v>PRD0047</x:v>
      </x:c>
      <x:c r="B48" s="69" t="str">
        <x:v>puru-kambera-alya-midi-girl</x:v>
      </x:c>
      <x:c r="C48" s="102" t="n">
        <x:v>4</x:v>
      </x:c>
      <x:c r="D48" s="108" t="str">
        <x:v>PURU KAMBERA</x:v>
      </x:c>
      <x:c r="E48" s="69" t="str">
        <x:v>Alya Midi Girl</x:v>
      </x:c>
      <x:c r="F48" s="69" t="str">
        <x:v>Dress</x:v>
      </x:c>
      <x:c r="G48" s="69" t="str">
        <x:v>Anak</x:v>
      </x:c>
      <x:c r="H48" s="69" t="str">
        <x:v>Baru</x:v>
      </x:c>
      <x:c r="I48" s="84" t="n">
        <x:f>MINIFS(VARIAN_STOK!$H$2:$H$333,VARIAN_STOK!$D$2:$D$333,$A48)</x:f>
        <x:v>209900</x:v>
      </x:c>
      <x:c r="J48" s="84" t="n">
        <x:f>MAXIFS(VARIAN_STOK!$H$2:$H$333,VARIAN_STOK!$D$2:$D$333,$A48)</x:f>
        <x:v>209900</x:v>
      </x:c>
      <x:c r="K48" s="90" t="n">
        <x:f>SUMIF(VARIAN_STOK!$D$2:$D$333,$A48,VARIAN_STOK!$I$2:$I$333)</x:f>
        <x:v>3</x:v>
      </x:c>
      <x:c r="L48" s="90" t="n">
        <x:f>COUNTIF(VARIAN_STOK!$D$2:$D$333,$A48)</x:f>
        <x:v>2</x:v>
      </x:c>
      <x:c r="M48" s="69" t="str"/>
      <x:c r="N48" s="69" t="str">
        <x:v>3-4y, 5-6y</x:v>
      </x:c>
      <x:c r="O48" s="69" t="str"/>
      <x:c r="P48" s="69" t="str"/>
      <x:c r="Q48" s="69" t="str"/>
      <x:c r="R48" s="69" t="str"/>
      <x:c r="S48" s="69" t="str"/>
      <x:c r="T48" s="69" t="str"/>
      <x:c r="U48" s="69" t="str">
        <x:v>Tidak</x:v>
      </x:c>
      <x:c r="V48" s="69" t="str">
        <x:v>Tidak</x:v>
      </x:c>
      <x:c r="W48" s="69" t="str">
        <x:v>Aktif</x:v>
      </x:c>
      <x:c r="X48" s="70" t="str"/>
    </x:row>
    <x:row r="49">
      <x:c r="A49" s="96" t="str">
        <x:v>PRD0048</x:v>
      </x:c>
      <x:c r="B49" s="69" t="str">
        <x:v>puru-kambera-kamia-alcea-dress</x:v>
      </x:c>
      <x:c r="C49" s="102" t="n">
        <x:v>4</x:v>
      </x:c>
      <x:c r="D49" s="108" t="str">
        <x:v>PURU KAMBERA</x:v>
      </x:c>
      <x:c r="E49" s="69" t="str">
        <x:v>Kamia - Alcea Dress</x:v>
      </x:c>
      <x:c r="F49" s="69" t="str">
        <x:v>Dress</x:v>
      </x:c>
      <x:c r="G49" s="69" t="str">
        <x:v>Dewasa</x:v>
      </x:c>
      <x:c r="H49" s="69" t="str">
        <x:v>Baru</x:v>
      </x:c>
      <x:c r="I49" s="84" t="n">
        <x:f>MINIFS(VARIAN_STOK!$H$2:$H$333,VARIAN_STOK!$D$2:$D$333,$A49)</x:f>
        <x:v>559900</x:v>
      </x:c>
      <x:c r="J49" s="84" t="n">
        <x:f>MAXIFS(VARIAN_STOK!$H$2:$H$333,VARIAN_STOK!$D$2:$D$333,$A49)</x:f>
        <x:v>559900</x:v>
      </x:c>
      <x:c r="K49" s="90" t="n">
        <x:f>SUMIF(VARIAN_STOK!$D$2:$D$333,$A49,VARIAN_STOK!$I$2:$I$333)</x:f>
        <x:v>1</x:v>
      </x:c>
      <x:c r="L49" s="90" t="n">
        <x:f>COUNTIF(VARIAN_STOK!$D$2:$D$333,$A49)</x:f>
        <x:v>1</x:v>
      </x:c>
      <x:c r="M49" s="69" t="str"/>
      <x:c r="N49" s="69" t="str"/>
      <x:c r="O49" s="69" t="str"/>
      <x:c r="P49" s="69" t="str"/>
      <x:c r="Q49" s="69" t="str"/>
      <x:c r="R49" s="69" t="str"/>
      <x:c r="S49" s="69" t="str"/>
      <x:c r="T49" s="69" t="str"/>
      <x:c r="U49" s="69" t="str">
        <x:v>Tidak</x:v>
      </x:c>
      <x:c r="V49" s="69" t="str">
        <x:v>Tidak</x:v>
      </x:c>
      <x:c r="W49" s="69" t="str">
        <x:v>Aktif</x:v>
      </x:c>
      <x:c r="X49" s="70" t="str"/>
    </x:row>
    <x:row r="50">
      <x:c r="A50" s="96" t="str">
        <x:v>PRD0049</x:v>
      </x:c>
      <x:c r="B50" s="69" t="str">
        <x:v>puru-kambera-yasira-midi-girl</x:v>
      </x:c>
      <x:c r="C50" s="102" t="n">
        <x:v>4</x:v>
      </x:c>
      <x:c r="D50" s="108" t="str">
        <x:v>PURU KAMBERA</x:v>
      </x:c>
      <x:c r="E50" s="69" t="str">
        <x:v>Yasira Midi Girl</x:v>
      </x:c>
      <x:c r="F50" s="69" t="str">
        <x:v>Dress</x:v>
      </x:c>
      <x:c r="G50" s="69" t="str">
        <x:v>Anak</x:v>
      </x:c>
      <x:c r="H50" s="69" t="str">
        <x:v>Baru</x:v>
      </x:c>
      <x:c r="I50" s="84" t="n">
        <x:f>MINIFS(VARIAN_STOK!$H$2:$H$333,VARIAN_STOK!$D$2:$D$333,$A50)</x:f>
        <x:v>209900</x:v>
      </x:c>
      <x:c r="J50" s="84" t="n">
        <x:f>MAXIFS(VARIAN_STOK!$H$2:$H$333,VARIAN_STOK!$D$2:$D$333,$A50)</x:f>
        <x:v>209900</x:v>
      </x:c>
      <x:c r="K50" s="90" t="n">
        <x:f>SUMIF(VARIAN_STOK!$D$2:$D$333,$A50,VARIAN_STOK!$I$2:$I$333)</x:f>
        <x:v>2</x:v>
      </x:c>
      <x:c r="L50" s="90" t="n">
        <x:f>COUNTIF(VARIAN_STOK!$D$2:$D$333,$A50)</x:f>
        <x:v>2</x:v>
      </x:c>
      <x:c r="M50" s="69" t="str"/>
      <x:c r="N50" s="69" t="str">
        <x:v>3-4y, 7-8y</x:v>
      </x:c>
      <x:c r="O50" s="69" t="str"/>
      <x:c r="P50" s="69" t="str"/>
      <x:c r="Q50" s="69" t="str"/>
      <x:c r="R50" s="69" t="str"/>
      <x:c r="S50" s="69" t="str"/>
      <x:c r="T50" s="69" t="str"/>
      <x:c r="U50" s="69" t="str">
        <x:v>Tidak</x:v>
      </x:c>
      <x:c r="V50" s="69" t="str">
        <x:v>Tidak</x:v>
      </x:c>
      <x:c r="W50" s="69" t="str">
        <x:v>Aktif</x:v>
      </x:c>
      <x:c r="X50" s="70" t="str"/>
    </x:row>
    <x:row r="51">
      <x:c r="A51" s="96" t="str">
        <x:v>PRD0050</x:v>
      </x:c>
      <x:c r="B51" s="69" t="str">
        <x:v>puru-kambera-zayna-midi-girl</x:v>
      </x:c>
      <x:c r="C51" s="102" t="n">
        <x:v>4</x:v>
      </x:c>
      <x:c r="D51" s="108" t="str">
        <x:v>PURU KAMBERA</x:v>
      </x:c>
      <x:c r="E51" s="69" t="str">
        <x:v>Zayna Midi Girl</x:v>
      </x:c>
      <x:c r="F51" s="69" t="str">
        <x:v>Dress</x:v>
      </x:c>
      <x:c r="G51" s="69" t="str">
        <x:v>Anak</x:v>
      </x:c>
      <x:c r="H51" s="69" t="str">
        <x:v>Baru</x:v>
      </x:c>
      <x:c r="I51" s="84" t="n">
        <x:f>MINIFS(VARIAN_STOK!$H$2:$H$333,VARIAN_STOK!$D$2:$D$333,$A51)</x:f>
        <x:v>209900</x:v>
      </x:c>
      <x:c r="J51" s="84" t="n">
        <x:f>MAXIFS(VARIAN_STOK!$H$2:$H$333,VARIAN_STOK!$D$2:$D$333,$A51)</x:f>
        <x:v>209900</x:v>
      </x:c>
      <x:c r="K51" s="90" t="n">
        <x:f>SUMIF(VARIAN_STOK!$D$2:$D$333,$A51,VARIAN_STOK!$I$2:$I$333)</x:f>
        <x:v>1</x:v>
      </x:c>
      <x:c r="L51" s="90" t="n">
        <x:f>COUNTIF(VARIAN_STOK!$D$2:$D$333,$A51)</x:f>
        <x:v>1</x:v>
      </x:c>
      <x:c r="M51" s="69" t="str"/>
      <x:c r="N51" s="69" t="str">
        <x:v>3-4y</x:v>
      </x:c>
      <x:c r="O51" s="69" t="str"/>
      <x:c r="P51" s="69" t="str"/>
      <x:c r="Q51" s="69" t="str"/>
      <x:c r="R51" s="69" t="str"/>
      <x:c r="S51" s="69" t="str"/>
      <x:c r="T51" s="69" t="str"/>
      <x:c r="U51" s="69" t="str">
        <x:v>Tidak</x:v>
      </x:c>
      <x:c r="V51" s="69" t="str">
        <x:v>Tidak</x:v>
      </x:c>
      <x:c r="W51" s="69" t="str">
        <x:v>Aktif</x:v>
      </x:c>
      <x:c r="X51" s="70" t="str"/>
    </x:row>
    <x:row r="52">
      <x:c r="A52" s="96" t="str">
        <x:v>PRD0051</x:v>
      </x:c>
      <x:c r="B52" s="69" t="str">
        <x:v>puru-kambera-azura-scarf</x:v>
      </x:c>
      <x:c r="C52" s="102" t="n">
        <x:v>4</x:v>
      </x:c>
      <x:c r="D52" s="108" t="str">
        <x:v>PURU KAMBERA</x:v>
      </x:c>
      <x:c r="E52" s="69" t="str">
        <x:v>Azura Scarf</x:v>
      </x:c>
      <x:c r="F52" s="69" t="str">
        <x:v>Hijab</x:v>
      </x:c>
      <x:c r="G52" s="69" t="str">
        <x:v>Dewasa</x:v>
      </x:c>
      <x:c r="H52" s="69" t="str">
        <x:v>Baru</x:v>
      </x:c>
      <x:c r="I52" s="84" t="n">
        <x:f>MINIFS(VARIAN_STOK!$H$2:$H$333,VARIAN_STOK!$D$2:$D$333,$A52)</x:f>
        <x:v>235000</x:v>
      </x:c>
      <x:c r="J52" s="84" t="n">
        <x:f>MAXIFS(VARIAN_STOK!$H$2:$H$333,VARIAN_STOK!$D$2:$D$333,$A52)</x:f>
        <x:v>235000</x:v>
      </x:c>
      <x:c r="K52" s="90" t="n">
        <x:f>SUMIF(VARIAN_STOK!$D$2:$D$333,$A52,VARIAN_STOK!$I$2:$I$333)</x:f>
        <x:v>1</x:v>
      </x:c>
      <x:c r="L52" s="90" t="n">
        <x:f>COUNTIF(VARIAN_STOK!$D$2:$D$333,$A52)</x:f>
        <x:v>1</x:v>
      </x:c>
      <x:c r="M52" s="69" t="str"/>
      <x:c r="N52" s="69" t="str"/>
      <x:c r="O52" s="69" t="str"/>
      <x:c r="P52" s="69" t="str"/>
      <x:c r="Q52" s="69" t="str"/>
      <x:c r="R52" s="69" t="str"/>
      <x:c r="S52" s="69" t="str"/>
      <x:c r="T52" s="69" t="str"/>
      <x:c r="U52" s="69" t="str">
        <x:v>Tidak</x:v>
      </x:c>
      <x:c r="V52" s="69" t="str">
        <x:v>Tidak</x:v>
      </x:c>
      <x:c r="W52" s="69" t="str">
        <x:v>Aktif</x:v>
      </x:c>
      <x:c r="X52" s="70" t="str"/>
    </x:row>
    <x:row r="53">
      <x:c r="A53" s="96" t="str">
        <x:v>PRD0052</x:v>
      </x:c>
      <x:c r="B53" s="69" t="str">
        <x:v>puru-kambera-lunelle-scarf</x:v>
      </x:c>
      <x:c r="C53" s="102" t="n">
        <x:v>4</x:v>
      </x:c>
      <x:c r="D53" s="108" t="str">
        <x:v>PURU KAMBERA</x:v>
      </x:c>
      <x:c r="E53" s="69" t="str">
        <x:v>Lunelle Scarf</x:v>
      </x:c>
      <x:c r="F53" s="69" t="str">
        <x:v>Hijab</x:v>
      </x:c>
      <x:c r="G53" s="69" t="str">
        <x:v>Dewasa</x:v>
      </x:c>
      <x:c r="H53" s="69" t="str">
        <x:v>Baru</x:v>
      </x:c>
      <x:c r="I53" s="84" t="n">
        <x:f>MINIFS(VARIAN_STOK!$H$2:$H$333,VARIAN_STOK!$D$2:$D$333,$A53)</x:f>
        <x:v>258500</x:v>
      </x:c>
      <x:c r="J53" s="84" t="n">
        <x:f>MAXIFS(VARIAN_STOK!$H$2:$H$333,VARIAN_STOK!$D$2:$D$333,$A53)</x:f>
        <x:v>258500</x:v>
      </x:c>
      <x:c r="K53" s="90" t="n">
        <x:f>SUMIF(VARIAN_STOK!$D$2:$D$333,$A53,VARIAN_STOK!$I$2:$I$333)</x:f>
        <x:v>1</x:v>
      </x:c>
      <x:c r="L53" s="90" t="n">
        <x:f>COUNTIF(VARIAN_STOK!$D$2:$D$333,$A53)</x:f>
        <x:v>1</x:v>
      </x:c>
      <x:c r="M53" s="69" t="str"/>
      <x:c r="N53" s="69" t="str"/>
      <x:c r="O53" s="69" t="str"/>
      <x:c r="P53" s="69" t="str"/>
      <x:c r="Q53" s="69" t="str"/>
      <x:c r="R53" s="69" t="str"/>
      <x:c r="S53" s="69" t="str"/>
      <x:c r="T53" s="69" t="str"/>
      <x:c r="U53" s="69" t="str">
        <x:v>Tidak</x:v>
      </x:c>
      <x:c r="V53" s="69" t="str">
        <x:v>Tidak</x:v>
      </x:c>
      <x:c r="W53" s="69" t="str">
        <x:v>Aktif</x:v>
      </x:c>
      <x:c r="X53" s="70" t="str"/>
    </x:row>
    <x:row r="54">
      <x:c r="A54" s="96" t="str">
        <x:v>PRD0053</x:v>
      </x:c>
      <x:c r="B54" s="69" t="str">
        <x:v>puru-kambera-reese-scarf</x:v>
      </x:c>
      <x:c r="C54" s="102" t="n">
        <x:v>4</x:v>
      </x:c>
      <x:c r="D54" s="108" t="str">
        <x:v>PURU KAMBERA</x:v>
      </x:c>
      <x:c r="E54" s="69" t="str">
        <x:v>Reese Scarf</x:v>
      </x:c>
      <x:c r="F54" s="69" t="str">
        <x:v>Hijab</x:v>
      </x:c>
      <x:c r="G54" s="69" t="str">
        <x:v>Dewasa</x:v>
      </x:c>
      <x:c r="H54" s="69" t="str">
        <x:v>Baru</x:v>
      </x:c>
      <x:c r="I54" s="84" t="n">
        <x:f>MINIFS(VARIAN_STOK!$H$2:$H$333,VARIAN_STOK!$D$2:$D$333,$A54)</x:f>
        <x:v>235000</x:v>
      </x:c>
      <x:c r="J54" s="84" t="n">
        <x:f>MAXIFS(VARIAN_STOK!$H$2:$H$333,VARIAN_STOK!$D$2:$D$333,$A54)</x:f>
        <x:v>235000</x:v>
      </x:c>
      <x:c r="K54" s="90" t="n">
        <x:f>SUMIF(VARIAN_STOK!$D$2:$D$333,$A54,VARIAN_STOK!$I$2:$I$333)</x:f>
        <x:v>1</x:v>
      </x:c>
      <x:c r="L54" s="90" t="n">
        <x:f>COUNTIF(VARIAN_STOK!$D$2:$D$333,$A54)</x:f>
        <x:v>1</x:v>
      </x:c>
      <x:c r="M54" s="69" t="str">
        <x:v>Pink</x:v>
      </x:c>
      <x:c r="N54" s="69" t="str"/>
      <x:c r="O54" s="69" t="str"/>
      <x:c r="P54" s="69" t="str"/>
      <x:c r="Q54" s="69" t="str"/>
      <x:c r="R54" s="69" t="str"/>
      <x:c r="S54" s="69" t="str"/>
      <x:c r="T54" s="69" t="str"/>
      <x:c r="U54" s="69" t="str">
        <x:v>Tidak</x:v>
      </x:c>
      <x:c r="V54" s="69" t="str">
        <x:v>Tidak</x:v>
      </x:c>
      <x:c r="W54" s="69" t="str">
        <x:v>Aktif</x:v>
      </x:c>
      <x:c r="X54" s="70" t="str"/>
    </x:row>
    <x:row r="55">
      <x:c r="A55" s="96" t="str">
        <x:v>PRD0054</x:v>
      </x:c>
      <x:c r="B55" s="69" t="str">
        <x:v>puru-kambera-riva-scarf</x:v>
      </x:c>
      <x:c r="C55" s="102" t="n">
        <x:v>4</x:v>
      </x:c>
      <x:c r="D55" s="108" t="str">
        <x:v>PURU KAMBERA</x:v>
      </x:c>
      <x:c r="E55" s="69" t="str">
        <x:v>Riva Scarf</x:v>
      </x:c>
      <x:c r="F55" s="69" t="str">
        <x:v>Hijab</x:v>
      </x:c>
      <x:c r="G55" s="69" t="str">
        <x:v>Dewasa</x:v>
      </x:c>
      <x:c r="H55" s="69" t="str">
        <x:v>Baru</x:v>
      </x:c>
      <x:c r="I55" s="84" t="n">
        <x:f>MINIFS(VARIAN_STOK!$H$2:$H$333,VARIAN_STOK!$D$2:$D$333,$A55)</x:f>
        <x:v>258500</x:v>
      </x:c>
      <x:c r="J55" s="84" t="n">
        <x:f>MAXIFS(VARIAN_STOK!$H$2:$H$333,VARIAN_STOK!$D$2:$D$333,$A55)</x:f>
        <x:v>258500</x:v>
      </x:c>
      <x:c r="K55" s="90" t="n">
        <x:f>SUMIF(VARIAN_STOK!$D$2:$D$333,$A55,VARIAN_STOK!$I$2:$I$333)</x:f>
        <x:v>1</x:v>
      </x:c>
      <x:c r="L55" s="90" t="n">
        <x:f>COUNTIF(VARIAN_STOK!$D$2:$D$333,$A55)</x:f>
        <x:v>1</x:v>
      </x:c>
      <x:c r="M55" s="69" t="str"/>
      <x:c r="N55" s="69" t="str"/>
      <x:c r="O55" s="69" t="str"/>
      <x:c r="P55" s="69" t="str"/>
      <x:c r="Q55" s="69" t="str"/>
      <x:c r="R55" s="69" t="str"/>
      <x:c r="S55" s="69" t="str"/>
      <x:c r="T55" s="69" t="str"/>
      <x:c r="U55" s="69" t="str">
        <x:v>Tidak</x:v>
      </x:c>
      <x:c r="V55" s="69" t="str">
        <x:v>Tidak</x:v>
      </x:c>
      <x:c r="W55" s="69" t="str">
        <x:v>Aktif</x:v>
      </x:c>
      <x:c r="X55" s="70" t="str"/>
    </x:row>
    <x:row r="56">
      <x:c r="A56" s="96" t="str">
        <x:v>PRD0055</x:v>
      </x:c>
      <x:c r="B56" s="69" t="str">
        <x:v>puru-kambera-sekala-series-calestia-scarf</x:v>
      </x:c>
      <x:c r="C56" s="102" t="n">
        <x:v>4</x:v>
      </x:c>
      <x:c r="D56" s="108" t="str">
        <x:v>PURU KAMBERA</x:v>
      </x:c>
      <x:c r="E56" s="69" t="str">
        <x:v>Sekala Series - Calestia Scarf</x:v>
      </x:c>
      <x:c r="F56" s="69" t="str">
        <x:v>Hijab</x:v>
      </x:c>
      <x:c r="G56" s="69" t="str">
        <x:v>Dewasa</x:v>
      </x:c>
      <x:c r="H56" s="69" t="str">
        <x:v>Baru</x:v>
      </x:c>
      <x:c r="I56" s="84" t="n">
        <x:f>MINIFS(VARIAN_STOK!$H$2:$H$333,VARIAN_STOK!$D$2:$D$333,$A56)</x:f>
        <x:v>235000</x:v>
      </x:c>
      <x:c r="J56" s="84" t="n">
        <x:f>MAXIFS(VARIAN_STOK!$H$2:$H$333,VARIAN_STOK!$D$2:$D$333,$A56)</x:f>
        <x:v>235000</x:v>
      </x:c>
      <x:c r="K56" s="90" t="n">
        <x:f>SUMIF(VARIAN_STOK!$D$2:$D$333,$A56,VARIAN_STOK!$I$2:$I$333)</x:f>
        <x:v>1</x:v>
      </x:c>
      <x:c r="L56" s="90" t="n">
        <x:f>COUNTIF(VARIAN_STOK!$D$2:$D$333,$A56)</x:f>
        <x:v>1</x:v>
      </x:c>
      <x:c r="M56" s="69" t="str"/>
      <x:c r="N56" s="69" t="str"/>
      <x:c r="O56" s="69" t="str"/>
      <x:c r="P56" s="69" t="str"/>
      <x:c r="Q56" s="69" t="str"/>
      <x:c r="R56" s="69" t="str"/>
      <x:c r="S56" s="69" t="str"/>
      <x:c r="T56" s="69" t="str"/>
      <x:c r="U56" s="69" t="str">
        <x:v>Tidak</x:v>
      </x:c>
      <x:c r="V56" s="69" t="str">
        <x:v>Tidak</x:v>
      </x:c>
      <x:c r="W56" s="69" t="str">
        <x:v>Aktif</x:v>
      </x:c>
      <x:c r="X56" s="70" t="str"/>
    </x:row>
    <x:row r="57">
      <x:c r="A57" s="96" t="str">
        <x:v>PRD0056</x:v>
      </x:c>
      <x:c r="B57" s="69" t="str">
        <x:v>puru-kambera-arine-blazer</x:v>
      </x:c>
      <x:c r="C57" s="102" t="n">
        <x:v>4</x:v>
      </x:c>
      <x:c r="D57" s="108" t="str">
        <x:v>PURU KAMBERA</x:v>
      </x:c>
      <x:c r="E57" s="69" t="str">
        <x:v>Arine Blazer</x:v>
      </x:c>
      <x:c r="F57" s="69" t="str">
        <x:v>Outer</x:v>
      </x:c>
      <x:c r="G57" s="69" t="str">
        <x:v>Dewasa</x:v>
      </x:c>
      <x:c r="H57" s="69" t="str">
        <x:v>Baru</x:v>
      </x:c>
      <x:c r="I57" s="84" t="n">
        <x:f>MINIFS(VARIAN_STOK!$H$2:$H$333,VARIAN_STOK!$D$2:$D$333,$A57)</x:f>
        <x:v>399900</x:v>
      </x:c>
      <x:c r="J57" s="84" t="n">
        <x:f>MAXIFS(VARIAN_STOK!$H$2:$H$333,VARIAN_STOK!$D$2:$D$333,$A57)</x:f>
        <x:v>399900</x:v>
      </x:c>
      <x:c r="K57" s="90" t="n">
        <x:f>SUMIF(VARIAN_STOK!$D$2:$D$333,$A57,VARIAN_STOK!$I$2:$I$333)</x:f>
        <x:v>1</x:v>
      </x:c>
      <x:c r="L57" s="90" t="n">
        <x:f>COUNTIF(VARIAN_STOK!$D$2:$D$333,$A57)</x:f>
        <x:v>1</x:v>
      </x:c>
      <x:c r="M57" s="69" t="str">
        <x:v>Gray Morn</x:v>
      </x:c>
      <x:c r="N57" s="69" t="str">
        <x:v>L/XL</x:v>
      </x:c>
      <x:c r="O57" s="69" t="str"/>
      <x:c r="P57" s="69" t="str"/>
      <x:c r="Q57" s="69" t="str"/>
      <x:c r="R57" s="69" t="str"/>
      <x:c r="S57" s="69" t="str"/>
      <x:c r="T57" s="69" t="str"/>
      <x:c r="U57" s="69" t="str">
        <x:v>Tidak</x:v>
      </x:c>
      <x:c r="V57" s="69" t="str">
        <x:v>Tidak</x:v>
      </x:c>
      <x:c r="W57" s="69" t="str">
        <x:v>Aktif</x:v>
      </x:c>
      <x:c r="X57" s="70" t="str"/>
    </x:row>
    <x:row r="58">
      <x:c r="A58" s="96" t="str">
        <x:v>PRD0057</x:v>
      </x:c>
      <x:c r="B58" s="69" t="str">
        <x:v>puru-kambera-alya-boy-shirt</x:v>
      </x:c>
      <x:c r="C58" s="102" t="n">
        <x:v>4</x:v>
      </x:c>
      <x:c r="D58" s="108" t="str">
        <x:v>PURU KAMBERA</x:v>
      </x:c>
      <x:c r="E58" s="69" t="str">
        <x:v>Alya Boy Shirt</x:v>
      </x:c>
      <x:c r="F58" s="69" t="str">
        <x:v>Shirt</x:v>
      </x:c>
      <x:c r="G58" s="69" t="str">
        <x:v>Anak</x:v>
      </x:c>
      <x:c r="H58" s="69" t="str">
        <x:v>Baru</x:v>
      </x:c>
      <x:c r="I58" s="84" t="n">
        <x:f>MINIFS(VARIAN_STOK!$H$2:$H$333,VARIAN_STOK!$D$2:$D$333,$A58)</x:f>
        <x:v>169900</x:v>
      </x:c>
      <x:c r="J58" s="84" t="n">
        <x:f>MAXIFS(VARIAN_STOK!$H$2:$H$333,VARIAN_STOK!$D$2:$D$333,$A58)</x:f>
        <x:v>169900</x:v>
      </x:c>
      <x:c r="K58" s="90" t="n">
        <x:f>SUMIF(VARIAN_STOK!$D$2:$D$333,$A58,VARIAN_STOK!$I$2:$I$333)</x:f>
        <x:v>2</x:v>
      </x:c>
      <x:c r="L58" s="90" t="n">
        <x:f>COUNTIF(VARIAN_STOK!$D$2:$D$333,$A58)</x:f>
        <x:v>2</x:v>
      </x:c>
      <x:c r="M58" s="69" t="str"/>
      <x:c r="N58" s="69" t="str">
        <x:v>5-6y, 7-8y</x:v>
      </x:c>
      <x:c r="O58" s="69" t="str"/>
      <x:c r="P58" s="69" t="str"/>
      <x:c r="Q58" s="69" t="str"/>
      <x:c r="R58" s="69" t="str"/>
      <x:c r="S58" s="69" t="str"/>
      <x:c r="T58" s="69" t="str"/>
      <x:c r="U58" s="69" t="str">
        <x:v>Tidak</x:v>
      </x:c>
      <x:c r="V58" s="69" t="str">
        <x:v>Tidak</x:v>
      </x:c>
      <x:c r="W58" s="69" t="str">
        <x:v>Aktif</x:v>
      </x:c>
      <x:c r="X58" s="70" t="str"/>
    </x:row>
    <x:row r="59">
      <x:c r="A59" s="96" t="str">
        <x:v>PRD0058</x:v>
      </x:c>
      <x:c r="B59" s="69" t="str">
        <x:v>puru-kambera-daria-boy-shirt</x:v>
      </x:c>
      <x:c r="C59" s="102" t="n">
        <x:v>4</x:v>
      </x:c>
      <x:c r="D59" s="108" t="str">
        <x:v>PURU KAMBERA</x:v>
      </x:c>
      <x:c r="E59" s="69" t="str">
        <x:v>Daria Boy Shirt</x:v>
      </x:c>
      <x:c r="F59" s="69" t="str">
        <x:v>Shirt</x:v>
      </x:c>
      <x:c r="G59" s="69" t="str">
        <x:v>Anak</x:v>
      </x:c>
      <x:c r="H59" s="69" t="str">
        <x:v>Baru</x:v>
      </x:c>
      <x:c r="I59" s="84" t="n">
        <x:f>MINIFS(VARIAN_STOK!$H$2:$H$333,VARIAN_STOK!$D$2:$D$333,$A59)</x:f>
        <x:v>305500</x:v>
      </x:c>
      <x:c r="J59" s="84" t="n">
        <x:f>MAXIFS(VARIAN_STOK!$H$2:$H$333,VARIAN_STOK!$D$2:$D$333,$A59)</x:f>
        <x:v>305500</x:v>
      </x:c>
      <x:c r="K59" s="90" t="n">
        <x:f>SUMIF(VARIAN_STOK!$D$2:$D$333,$A59,VARIAN_STOK!$I$2:$I$333)</x:f>
        <x:v>5</x:v>
      </x:c>
      <x:c r="L59" s="90" t="n">
        <x:f>COUNTIF(VARIAN_STOK!$D$2:$D$333,$A59)</x:f>
        <x:v>3</x:v>
      </x:c>
      <x:c r="M59" s="69" t="str"/>
      <x:c r="N59" s="69" t="str">
        <x:v>3-4Y, 5-6Y, 7-8Y</x:v>
      </x:c>
      <x:c r="O59" s="69" t="str"/>
      <x:c r="P59" s="69" t="str"/>
      <x:c r="Q59" s="69" t="str"/>
      <x:c r="R59" s="69" t="str"/>
      <x:c r="S59" s="69" t="str"/>
      <x:c r="T59" s="69" t="str"/>
      <x:c r="U59" s="69" t="str">
        <x:v>Tidak</x:v>
      </x:c>
      <x:c r="V59" s="69" t="str">
        <x:v>Tidak</x:v>
      </x:c>
      <x:c r="W59" s="69" t="str">
        <x:v>Aktif</x:v>
      </x:c>
      <x:c r="X59" s="70" t="str"/>
    </x:row>
    <x:row r="60">
      <x:c r="A60" s="96" t="str">
        <x:v>PRD0059</x:v>
      </x:c>
      <x:c r="B60" s="69" t="str">
        <x:v>puru-kambera-hasu-boy-shirt</x:v>
      </x:c>
      <x:c r="C60" s="102" t="n">
        <x:v>4</x:v>
      </x:c>
      <x:c r="D60" s="108" t="str">
        <x:v>PURU KAMBERA</x:v>
      </x:c>
      <x:c r="E60" s="69" t="str">
        <x:v>Hasu Boy Shirt</x:v>
      </x:c>
      <x:c r="F60" s="69" t="str">
        <x:v>Shirt</x:v>
      </x:c>
      <x:c r="G60" s="69" t="str">
        <x:v>Anak</x:v>
      </x:c>
      <x:c r="H60" s="69" t="str">
        <x:v>Baru</x:v>
      </x:c>
      <x:c r="I60" s="84" t="n">
        <x:f>MINIFS(VARIAN_STOK!$H$2:$H$333,VARIAN_STOK!$D$2:$D$333,$A60)</x:f>
        <x:v>305500</x:v>
      </x:c>
      <x:c r="J60" s="84" t="n">
        <x:f>MAXIFS(VARIAN_STOK!$H$2:$H$333,VARIAN_STOK!$D$2:$D$333,$A60)</x:f>
        <x:v>305500</x:v>
      </x:c>
      <x:c r="K60" s="90" t="n">
        <x:f>SUMIF(VARIAN_STOK!$D$2:$D$333,$A60,VARIAN_STOK!$I$2:$I$333)</x:f>
        <x:v>1</x:v>
      </x:c>
      <x:c r="L60" s="90" t="n">
        <x:f>COUNTIF(VARIAN_STOK!$D$2:$D$333,$A60)</x:f>
        <x:v>1</x:v>
      </x:c>
      <x:c r="M60" s="69" t="str"/>
      <x:c r="N60" s="69" t="str">
        <x:v>5-6y</x:v>
      </x:c>
      <x:c r="O60" s="69" t="str"/>
      <x:c r="P60" s="69" t="str"/>
      <x:c r="Q60" s="69" t="str"/>
      <x:c r="R60" s="69" t="str"/>
      <x:c r="S60" s="69" t="str"/>
      <x:c r="T60" s="69" t="str"/>
      <x:c r="U60" s="69" t="str">
        <x:v>Tidak</x:v>
      </x:c>
      <x:c r="V60" s="69" t="str">
        <x:v>Tidak</x:v>
      </x:c>
      <x:c r="W60" s="69" t="str">
        <x:v>Aktif</x:v>
      </x:c>
      <x:c r="X60" s="70" t="str"/>
    </x:row>
    <x:row r="61">
      <x:c r="A61" s="96" t="str">
        <x:v>PRD0060</x:v>
      </x:c>
      <x:c r="B61" s="69" t="str">
        <x:v>puru-kambera-himawari-boy-shirt</x:v>
      </x:c>
      <x:c r="C61" s="102" t="n">
        <x:v>4</x:v>
      </x:c>
      <x:c r="D61" s="108" t="str">
        <x:v>PURU KAMBERA</x:v>
      </x:c>
      <x:c r="E61" s="69" t="str">
        <x:v>Himawari Boy Shirt</x:v>
      </x:c>
      <x:c r="F61" s="69" t="str">
        <x:v>Shirt</x:v>
      </x:c>
      <x:c r="G61" s="69" t="str">
        <x:v>Anak</x:v>
      </x:c>
      <x:c r="H61" s="69" t="str">
        <x:v>Baru</x:v>
      </x:c>
      <x:c r="I61" s="84" t="n">
        <x:f>MINIFS(VARIAN_STOK!$H$2:$H$333,VARIAN_STOK!$D$2:$D$333,$A61)</x:f>
        <x:v>305500</x:v>
      </x:c>
      <x:c r="J61" s="84" t="n">
        <x:f>MAXIFS(VARIAN_STOK!$H$2:$H$333,VARIAN_STOK!$D$2:$D$333,$A61)</x:f>
        <x:v>305500</x:v>
      </x:c>
      <x:c r="K61" s="90" t="n">
        <x:f>SUMIF(VARIAN_STOK!$D$2:$D$333,$A61,VARIAN_STOK!$I$2:$I$333)</x:f>
        <x:v>5</x:v>
      </x:c>
      <x:c r="L61" s="90" t="n">
        <x:f>COUNTIF(VARIAN_STOK!$D$2:$D$333,$A61)</x:f>
        <x:v>3</x:v>
      </x:c>
      <x:c r="M61" s="69" t="str"/>
      <x:c r="N61" s="69" t="str">
        <x:v>3-4Y, 5-6Y, 7-8Y</x:v>
      </x:c>
      <x:c r="O61" s="69" t="str"/>
      <x:c r="P61" s="69" t="str"/>
      <x:c r="Q61" s="69" t="str"/>
      <x:c r="R61" s="69" t="str"/>
      <x:c r="S61" s="69" t="str"/>
      <x:c r="T61" s="69" t="str"/>
      <x:c r="U61" s="69" t="str">
        <x:v>Tidak</x:v>
      </x:c>
      <x:c r="V61" s="69" t="str">
        <x:v>Tidak</x:v>
      </x:c>
      <x:c r="W61" s="69" t="str">
        <x:v>Aktif</x:v>
      </x:c>
      <x:c r="X61" s="70" t="str"/>
    </x:row>
    <x:row r="62">
      <x:c r="A62" s="96" t="str">
        <x:v>PRD0061</x:v>
      </x:c>
      <x:c r="B62" s="69" t="str">
        <x:v>puru-kambera-orla-shirt</x:v>
      </x:c>
      <x:c r="C62" s="102" t="n">
        <x:v>4</x:v>
      </x:c>
      <x:c r="D62" s="108" t="str">
        <x:v>PURU KAMBERA</x:v>
      </x:c>
      <x:c r="E62" s="69" t="str">
        <x:v>Orla Shirt</x:v>
      </x:c>
      <x:c r="F62" s="69" t="str">
        <x:v>Shirt</x:v>
      </x:c>
      <x:c r="G62" s="69" t="str">
        <x:v>Dewasa</x:v>
      </x:c>
      <x:c r="H62" s="69" t="str">
        <x:v>Baru</x:v>
      </x:c>
      <x:c r="I62" s="84" t="n">
        <x:f>MINIFS(VARIAN_STOK!$H$2:$H$333,VARIAN_STOK!$D$2:$D$333,$A62)</x:f>
        <x:v>413885</x:v>
      </x:c>
      <x:c r="J62" s="84" t="n">
        <x:f>MAXIFS(VARIAN_STOK!$H$2:$H$333,VARIAN_STOK!$D$2:$D$333,$A62)</x:f>
        <x:v>413885</x:v>
      </x:c>
      <x:c r="K62" s="90" t="n">
        <x:f>SUMIF(VARIAN_STOK!$D$2:$D$333,$A62,VARIAN_STOK!$I$2:$I$333)</x:f>
        <x:v>1</x:v>
      </x:c>
      <x:c r="L62" s="90" t="n">
        <x:f>COUNTIF(VARIAN_STOK!$D$2:$D$333,$A62)</x:f>
        <x:v>1</x:v>
      </x:c>
      <x:c r="M62" s="69" t="str"/>
      <x:c r="N62" s="69" t="str"/>
      <x:c r="O62" s="69" t="str"/>
      <x:c r="P62" s="69" t="str"/>
      <x:c r="Q62" s="69" t="str"/>
      <x:c r="R62" s="69" t="str"/>
      <x:c r="S62" s="69" t="str"/>
      <x:c r="T62" s="69" t="str"/>
      <x:c r="U62" s="69" t="str">
        <x:v>Tidak</x:v>
      </x:c>
      <x:c r="V62" s="69" t="str">
        <x:v>Tidak</x:v>
      </x:c>
      <x:c r="W62" s="69" t="str">
        <x:v>Aktif</x:v>
      </x:c>
      <x:c r="X62" s="70" t="str"/>
    </x:row>
    <x:row r="63">
      <x:c r="A63" s="96" t="str">
        <x:v>PRD0062</x:v>
      </x:c>
      <x:c r="B63" s="69" t="str">
        <x:v>puru-kambera-veya-shirt</x:v>
      </x:c>
      <x:c r="C63" s="102" t="n">
        <x:v>4</x:v>
      </x:c>
      <x:c r="D63" s="108" t="str">
        <x:v>PURU KAMBERA</x:v>
      </x:c>
      <x:c r="E63" s="69" t="str">
        <x:v>Veya Shirt</x:v>
      </x:c>
      <x:c r="F63" s="69" t="str">
        <x:v>Shirt</x:v>
      </x:c>
      <x:c r="G63" s="69" t="str">
        <x:v>Dewasa</x:v>
      </x:c>
      <x:c r="H63" s="69" t="str">
        <x:v>Baru</x:v>
      </x:c>
      <x:c r="I63" s="84" t="n">
        <x:f>MINIFS(VARIAN_STOK!$H$2:$H$333,VARIAN_STOK!$D$2:$D$333,$A63)</x:f>
        <x:v>413885</x:v>
      </x:c>
      <x:c r="J63" s="84" t="n">
        <x:f>MAXIFS(VARIAN_STOK!$H$2:$H$333,VARIAN_STOK!$D$2:$D$333,$A63)</x:f>
        <x:v>413885</x:v>
      </x:c>
      <x:c r="K63" s="90" t="n">
        <x:f>SUMIF(VARIAN_STOK!$D$2:$D$333,$A63,VARIAN_STOK!$I$2:$I$333)</x:f>
        <x:v>1</x:v>
      </x:c>
      <x:c r="L63" s="90" t="n">
        <x:f>COUNTIF(VARIAN_STOK!$D$2:$D$333,$A63)</x:f>
        <x:v>1</x:v>
      </x:c>
      <x:c r="M63" s="69" t="str"/>
      <x:c r="N63" s="69" t="str"/>
      <x:c r="O63" s="69" t="str"/>
      <x:c r="P63" s="69" t="str"/>
      <x:c r="Q63" s="69" t="str"/>
      <x:c r="R63" s="69" t="str"/>
      <x:c r="S63" s="69" t="str"/>
      <x:c r="T63" s="69" t="str"/>
      <x:c r="U63" s="69" t="str">
        <x:v>Tidak</x:v>
      </x:c>
      <x:c r="V63" s="69" t="str">
        <x:v>Tidak</x:v>
      </x:c>
      <x:c r="W63" s="69" t="str">
        <x:v>Aktif</x:v>
      </x:c>
      <x:c r="X63" s="70" t="str"/>
    </x:row>
    <x:row r="64">
      <x:c r="A64" s="96" t="str">
        <x:v>PRD0063</x:v>
      </x:c>
      <x:c r="B64" s="69" t="str">
        <x:v>puru-kambera-yasira-boy-shirt</x:v>
      </x:c>
      <x:c r="C64" s="102" t="n">
        <x:v>4</x:v>
      </x:c>
      <x:c r="D64" s="108" t="str">
        <x:v>PURU KAMBERA</x:v>
      </x:c>
      <x:c r="E64" s="69" t="str">
        <x:v>Yasira Boy Shirt</x:v>
      </x:c>
      <x:c r="F64" s="69" t="str">
        <x:v>Shirt</x:v>
      </x:c>
      <x:c r="G64" s="69" t="str">
        <x:v>Anak</x:v>
      </x:c>
      <x:c r="H64" s="69" t="str">
        <x:v>Baru</x:v>
      </x:c>
      <x:c r="I64" s="84" t="n">
        <x:f>MINIFS(VARIAN_STOK!$H$2:$H$333,VARIAN_STOK!$D$2:$D$333,$A64)</x:f>
        <x:v>169900</x:v>
      </x:c>
      <x:c r="J64" s="84" t="n">
        <x:f>MAXIFS(VARIAN_STOK!$H$2:$H$333,VARIAN_STOK!$D$2:$D$333,$A64)</x:f>
        <x:v>169900</x:v>
      </x:c>
      <x:c r="K64" s="90" t="n">
        <x:f>SUMIF(VARIAN_STOK!$D$2:$D$333,$A64,VARIAN_STOK!$I$2:$I$333)</x:f>
        <x:v>2</x:v>
      </x:c>
      <x:c r="L64" s="90" t="n">
        <x:f>COUNTIF(VARIAN_STOK!$D$2:$D$333,$A64)</x:f>
        <x:v>2</x:v>
      </x:c>
      <x:c r="M64" s="69" t="str"/>
      <x:c r="N64" s="69" t="str">
        <x:v>5-6y, 7-8y</x:v>
      </x:c>
      <x:c r="O64" s="69" t="str"/>
      <x:c r="P64" s="69" t="str"/>
      <x:c r="Q64" s="69" t="str"/>
      <x:c r="R64" s="69" t="str"/>
      <x:c r="S64" s="69" t="str"/>
      <x:c r="T64" s="69" t="str"/>
      <x:c r="U64" s="69" t="str">
        <x:v>Tidak</x:v>
      </x:c>
      <x:c r="V64" s="69" t="str">
        <x:v>Tidak</x:v>
      </x:c>
      <x:c r="W64" s="69" t="str">
        <x:v>Aktif</x:v>
      </x:c>
      <x:c r="X64" s="70" t="str"/>
    </x:row>
    <x:row r="65">
      <x:c r="A65" s="96" t="str">
        <x:v>PRD0064</x:v>
      </x:c>
      <x:c r="B65" s="69" t="str">
        <x:v>puru-kambera-nuwa-wrap-skirt</x:v>
      </x:c>
      <x:c r="C65" s="102" t="n">
        <x:v>4</x:v>
      </x:c>
      <x:c r="D65" s="108" t="str">
        <x:v>PURU KAMBERA</x:v>
      </x:c>
      <x:c r="E65" s="69" t="str">
        <x:v>Nuwa Wrap Skirt</x:v>
      </x:c>
      <x:c r="F65" s="69" t="str">
        <x:v>Skirt</x:v>
      </x:c>
      <x:c r="G65" s="69" t="str">
        <x:v>Dewasa</x:v>
      </x:c>
      <x:c r="H65" s="69" t="str">
        <x:v>Baru</x:v>
      </x:c>
      <x:c r="I65" s="84" t="n">
        <x:f>MINIFS(VARIAN_STOK!$H$2:$H$333,VARIAN_STOK!$D$2:$D$333,$A65)</x:f>
        <x:v>249900</x:v>
      </x:c>
      <x:c r="J65" s="84" t="n">
        <x:f>MAXIFS(VARIAN_STOK!$H$2:$H$333,VARIAN_STOK!$D$2:$D$333,$A65)</x:f>
        <x:v>249900</x:v>
      </x:c>
      <x:c r="K65" s="90" t="n">
        <x:f>SUMIF(VARIAN_STOK!$D$2:$D$333,$A65,VARIAN_STOK!$I$2:$I$333)</x:f>
        <x:v>1</x:v>
      </x:c>
      <x:c r="L65" s="90" t="n">
        <x:f>COUNTIF(VARIAN_STOK!$D$2:$D$333,$A65)</x:f>
        <x:v>1</x:v>
      </x:c>
      <x:c r="M65" s="69" t="str"/>
      <x:c r="N65" s="69" t="str"/>
      <x:c r="O65" s="69" t="str"/>
      <x:c r="P65" s="69" t="str"/>
      <x:c r="Q65" s="69" t="str"/>
      <x:c r="R65" s="69" t="str"/>
      <x:c r="S65" s="69" t="str"/>
      <x:c r="T65" s="69" t="str"/>
      <x:c r="U65" s="69" t="str">
        <x:v>Tidak</x:v>
      </x:c>
      <x:c r="V65" s="69" t="str">
        <x:v>Tidak</x:v>
      </x:c>
      <x:c r="W65" s="69" t="str">
        <x:v>Aktif</x:v>
      </x:c>
      <x:c r="X65" s="70" t="str"/>
    </x:row>
    <x:row r="66">
      <x:c r="A66" s="96" t="str">
        <x:v>PRD0065</x:v>
      </x:c>
      <x:c r="B66" s="69" t="str">
        <x:v>puru-kambera-cheerful-cardigan</x:v>
      </x:c>
      <x:c r="C66" s="102" t="n">
        <x:v>4</x:v>
      </x:c>
      <x:c r="D66" s="108" t="str">
        <x:v>PURU KAMBERA</x:v>
      </x:c>
      <x:c r="E66" s="69" t="str">
        <x:v>Cheerful Cardigan</x:v>
      </x:c>
      <x:c r="F66" s="69" t="str">
        <x:v>Sweater</x:v>
      </x:c>
      <x:c r="G66" s="69" t="str">
        <x:v>Dewasa</x:v>
      </x:c>
      <x:c r="H66" s="69" t="str">
        <x:v>Baru</x:v>
      </x:c>
      <x:c r="I66" s="84" t="n">
        <x:f>MINIFS(VARIAN_STOK!$H$2:$H$333,VARIAN_STOK!$D$2:$D$333,$A66)</x:f>
        <x:v>489600</x:v>
      </x:c>
      <x:c r="J66" s="84" t="n">
        <x:f>MAXIFS(VARIAN_STOK!$H$2:$H$333,VARIAN_STOK!$D$2:$D$333,$A66)</x:f>
        <x:v>489600</x:v>
      </x:c>
      <x:c r="K66" s="90" t="n">
        <x:f>SUMIF(VARIAN_STOK!$D$2:$D$333,$A66,VARIAN_STOK!$I$2:$I$333)</x:f>
        <x:v>1</x:v>
      </x:c>
      <x:c r="L66" s="90" t="n">
        <x:f>COUNTIF(VARIAN_STOK!$D$2:$D$333,$A66)</x:f>
        <x:v>1</x:v>
      </x:c>
      <x:c r="M66" s="69" t="str"/>
      <x:c r="N66" s="69" t="str"/>
      <x:c r="O66" s="69" t="str"/>
      <x:c r="P66" s="69" t="str"/>
      <x:c r="Q66" s="69" t="str"/>
      <x:c r="R66" s="69" t="str"/>
      <x:c r="S66" s="69" t="str"/>
      <x:c r="T66" s="69" t="str"/>
      <x:c r="U66" s="69" t="str">
        <x:v>Tidak</x:v>
      </x:c>
      <x:c r="V66" s="69" t="str">
        <x:v>Tidak</x:v>
      </x:c>
      <x:c r="W66" s="69" t="str">
        <x:v>Aktif</x:v>
      </x:c>
      <x:c r="X66" s="70" t="str"/>
    </x:row>
    <x:row r="67">
      <x:c r="A67" s="96" t="str">
        <x:v>PRD0066</x:v>
      </x:c>
      <x:c r="B67" s="69" t="str">
        <x:v>puru-kambera-cheerful-cardigan-kids-s-m</x:v>
      </x:c>
      <x:c r="C67" s="102" t="n">
        <x:v>4</x:v>
      </x:c>
      <x:c r="D67" s="108" t="str">
        <x:v>PURU KAMBERA</x:v>
      </x:c>
      <x:c r="E67" s="69" t="str">
        <x:v>Cheerful Cardigan Kids / S-M</x:v>
      </x:c>
      <x:c r="F67" s="69" t="str">
        <x:v>Sweater</x:v>
      </x:c>
      <x:c r="G67" s="69" t="str">
        <x:v>Anak</x:v>
      </x:c>
      <x:c r="H67" s="69" t="str">
        <x:v>Baru</x:v>
      </x:c>
      <x:c r="I67" s="84" t="n">
        <x:f>MINIFS(VARIAN_STOK!$H$2:$H$333,VARIAN_STOK!$D$2:$D$333,$A67)</x:f>
        <x:v>350400</x:v>
      </x:c>
      <x:c r="J67" s="84" t="n">
        <x:f>MAXIFS(VARIAN_STOK!$H$2:$H$333,VARIAN_STOK!$D$2:$D$333,$A67)</x:f>
        <x:v>350400</x:v>
      </x:c>
      <x:c r="K67" s="90" t="n">
        <x:f>SUMIF(VARIAN_STOK!$D$2:$D$333,$A67,VARIAN_STOK!$I$2:$I$333)</x:f>
        <x:v>1</x:v>
      </x:c>
      <x:c r="L67" s="90" t="n">
        <x:f>COUNTIF(VARIAN_STOK!$D$2:$D$333,$A67)</x:f>
        <x:v>1</x:v>
      </x:c>
      <x:c r="M67" s="69" t="str"/>
      <x:c r="N67" s="69" t="str">
        <x:v>4-6Y</x:v>
      </x:c>
      <x:c r="O67" s="69" t="str"/>
      <x:c r="P67" s="69" t="str"/>
      <x:c r="Q67" s="69" t="str"/>
      <x:c r="R67" s="69" t="str"/>
      <x:c r="S67" s="69" t="str"/>
      <x:c r="T67" s="69" t="str"/>
      <x:c r="U67" s="69" t="str">
        <x:v>Tidak</x:v>
      </x:c>
      <x:c r="V67" s="69" t="str">
        <x:v>Tidak</x:v>
      </x:c>
      <x:c r="W67" s="69" t="str">
        <x:v>Aktif</x:v>
      </x:c>
      <x:c r="X67" s="70" t="str"/>
    </x:row>
    <x:row r="68">
      <x:c r="A68" s="96" t="str">
        <x:v>PRD0067</x:v>
      </x:c>
      <x:c r="B68" s="69" t="str">
        <x:v>puru-kambera-classy-cardigan-kids-s-m</x:v>
      </x:c>
      <x:c r="C68" s="102" t="n">
        <x:v>4</x:v>
      </x:c>
      <x:c r="D68" s="108" t="str">
        <x:v>PURU KAMBERA</x:v>
      </x:c>
      <x:c r="E68" s="69" t="str">
        <x:v>Classy Cardigan Kids / S-M</x:v>
      </x:c>
      <x:c r="F68" s="69" t="str">
        <x:v>Sweater</x:v>
      </x:c>
      <x:c r="G68" s="69" t="str">
        <x:v>Anak</x:v>
      </x:c>
      <x:c r="H68" s="69" t="str">
        <x:v>Baru</x:v>
      </x:c>
      <x:c r="I68" s="84" t="n">
        <x:f>MINIFS(VARIAN_STOK!$H$2:$H$333,VARIAN_STOK!$D$2:$D$333,$A68)</x:f>
        <x:v>350400</x:v>
      </x:c>
      <x:c r="J68" s="84" t="n">
        <x:f>MAXIFS(VARIAN_STOK!$H$2:$H$333,VARIAN_STOK!$D$2:$D$333,$A68)</x:f>
        <x:v>350400</x:v>
      </x:c>
      <x:c r="K68" s="90" t="n">
        <x:f>SUMIF(VARIAN_STOK!$D$2:$D$333,$A68,VARIAN_STOK!$I$2:$I$333)</x:f>
        <x:v>2</x:v>
      </x:c>
      <x:c r="L68" s="90" t="n">
        <x:f>COUNTIF(VARIAN_STOK!$D$2:$D$333,$A68)</x:f>
        <x:v>1</x:v>
      </x:c>
      <x:c r="M68" s="69" t="str"/>
      <x:c r="N68" s="69" t="str">
        <x:v>4-6Y</x:v>
      </x:c>
      <x:c r="O68" s="69" t="str"/>
      <x:c r="P68" s="69" t="str"/>
      <x:c r="Q68" s="69" t="str"/>
      <x:c r="R68" s="69" t="str"/>
      <x:c r="S68" s="69" t="str"/>
      <x:c r="T68" s="69" t="str"/>
      <x:c r="U68" s="69" t="str">
        <x:v>Tidak</x:v>
      </x:c>
      <x:c r="V68" s="69" t="str">
        <x:v>Tidak</x:v>
      </x:c>
      <x:c r="W68" s="69" t="str">
        <x:v>Aktif</x:v>
      </x:c>
      <x:c r="X68" s="70" t="str"/>
    </x:row>
    <x:row r="69">
      <x:c r="A69" s="96" t="str">
        <x:v>PRD0068</x:v>
      </x:c>
      <x:c r="B69" s="69" t="str">
        <x:v>puru-kambera-classy-cardigan-kids-s-l-xl</x:v>
      </x:c>
      <x:c r="C69" s="102" t="n">
        <x:v>4</x:v>
      </x:c>
      <x:c r="D69" s="108" t="str">
        <x:v>PURU KAMBERA</x:v>
      </x:c>
      <x:c r="E69" s="69" t="str">
        <x:v>Classy Cardigan Kids S/ L-XL</x:v>
      </x:c>
      <x:c r="F69" s="69" t="str">
        <x:v>Sweater</x:v>
      </x:c>
      <x:c r="G69" s="69" t="str">
        <x:v>Anak</x:v>
      </x:c>
      <x:c r="H69" s="69" t="str">
        <x:v>Baru</x:v>
      </x:c>
      <x:c r="I69" s="84" t="n">
        <x:f>MINIFS(VARIAN_STOK!$H$2:$H$333,VARIAN_STOK!$D$2:$D$333,$A69)</x:f>
        <x:v>350400</x:v>
      </x:c>
      <x:c r="J69" s="84" t="n">
        <x:f>MAXIFS(VARIAN_STOK!$H$2:$H$333,VARIAN_STOK!$D$2:$D$333,$A69)</x:f>
        <x:v>350400</x:v>
      </x:c>
      <x:c r="K69" s="90" t="n">
        <x:f>SUMIF(VARIAN_STOK!$D$2:$D$333,$A69,VARIAN_STOK!$I$2:$I$333)</x:f>
        <x:v>1</x:v>
      </x:c>
      <x:c r="L69" s="90" t="n">
        <x:f>COUNTIF(VARIAN_STOK!$D$2:$D$333,$A69)</x:f>
        <x:v>1</x:v>
      </x:c>
      <x:c r="M69" s="69" t="str"/>
      <x:c r="N69" s="69" t="str">
        <x:v>8-10Y</x:v>
      </x:c>
      <x:c r="O69" s="69" t="str"/>
      <x:c r="P69" s="69" t="str"/>
      <x:c r="Q69" s="69" t="str"/>
      <x:c r="R69" s="69" t="str"/>
      <x:c r="S69" s="69" t="str"/>
      <x:c r="T69" s="69" t="str"/>
      <x:c r="U69" s="69" t="str">
        <x:v>Tidak</x:v>
      </x:c>
      <x:c r="V69" s="69" t="str">
        <x:v>Tidak</x:v>
      </x:c>
      <x:c r="W69" s="69" t="str">
        <x:v>Aktif</x:v>
      </x:c>
      <x:c r="X69" s="70" t="str"/>
    </x:row>
    <x:row r="70">
      <x:c r="A70" s="96" t="str">
        <x:v>PRD0069</x:v>
      </x:c>
      <x:c r="B70" s="69" t="str">
        <x:v>puru-kambera-dear-cardigan-kids-l-xl</x:v>
      </x:c>
      <x:c r="C70" s="102" t="n">
        <x:v>4</x:v>
      </x:c>
      <x:c r="D70" s="108" t="str">
        <x:v>PURU KAMBERA</x:v>
      </x:c>
      <x:c r="E70" s="69" t="str">
        <x:v>Dear Cardigan Kids / L-XL</x:v>
      </x:c>
      <x:c r="F70" s="69" t="str">
        <x:v>Sweater</x:v>
      </x:c>
      <x:c r="G70" s="69" t="str">
        <x:v>Anak</x:v>
      </x:c>
      <x:c r="H70" s="69" t="str">
        <x:v>Baru</x:v>
      </x:c>
      <x:c r="I70" s="84" t="n">
        <x:f>MINIFS(VARIAN_STOK!$H$2:$H$333,VARIAN_STOK!$D$2:$D$333,$A70)</x:f>
        <x:v>350400</x:v>
      </x:c>
      <x:c r="J70" s="84" t="n">
        <x:f>MAXIFS(VARIAN_STOK!$H$2:$H$333,VARIAN_STOK!$D$2:$D$333,$A70)</x:f>
        <x:v>350400</x:v>
      </x:c>
      <x:c r="K70" s="90" t="n">
        <x:f>SUMIF(VARIAN_STOK!$D$2:$D$333,$A70,VARIAN_STOK!$I$2:$I$333)</x:f>
        <x:v>2</x:v>
      </x:c>
      <x:c r="L70" s="90" t="n">
        <x:f>COUNTIF(VARIAN_STOK!$D$2:$D$333,$A70)</x:f>
        <x:v>1</x:v>
      </x:c>
      <x:c r="M70" s="69" t="str"/>
      <x:c r="N70" s="69" t="str">
        <x:v>8-10Y</x:v>
      </x:c>
      <x:c r="O70" s="69" t="str"/>
      <x:c r="P70" s="69" t="str"/>
      <x:c r="Q70" s="69" t="str"/>
      <x:c r="R70" s="69" t="str"/>
      <x:c r="S70" s="69" t="str"/>
      <x:c r="T70" s="69" t="str"/>
      <x:c r="U70" s="69" t="str">
        <x:v>Tidak</x:v>
      </x:c>
      <x:c r="V70" s="69" t="str">
        <x:v>Tidak</x:v>
      </x:c>
      <x:c r="W70" s="69" t="str">
        <x:v>Aktif</x:v>
      </x:c>
      <x:c r="X70" s="70" t="str"/>
    </x:row>
    <x:row r="71">
      <x:c r="A71" s="96" t="str">
        <x:v>PRD0070</x:v>
      </x:c>
      <x:c r="B71" s="69" t="str">
        <x:v>puru-kambera-dear-cardigan-kids-s-m</x:v>
      </x:c>
      <x:c r="C71" s="102" t="n">
        <x:v>4</x:v>
      </x:c>
      <x:c r="D71" s="108" t="str">
        <x:v>PURU KAMBERA</x:v>
      </x:c>
      <x:c r="E71" s="69" t="str">
        <x:v>Dear Cardigan Kids / S-M</x:v>
      </x:c>
      <x:c r="F71" s="69" t="str">
        <x:v>Sweater</x:v>
      </x:c>
      <x:c r="G71" s="69" t="str">
        <x:v>Anak</x:v>
      </x:c>
      <x:c r="H71" s="69" t="str">
        <x:v>Baru</x:v>
      </x:c>
      <x:c r="I71" s="84" t="n">
        <x:f>MINIFS(VARIAN_STOK!$H$2:$H$333,VARIAN_STOK!$D$2:$D$333,$A71)</x:f>
        <x:v>350400</x:v>
      </x:c>
      <x:c r="J71" s="84" t="n">
        <x:f>MAXIFS(VARIAN_STOK!$H$2:$H$333,VARIAN_STOK!$D$2:$D$333,$A71)</x:f>
        <x:v>350400</x:v>
      </x:c>
      <x:c r="K71" s="90" t="n">
        <x:f>SUMIF(VARIAN_STOK!$D$2:$D$333,$A71,VARIAN_STOK!$I$2:$I$333)</x:f>
        <x:v>1</x:v>
      </x:c>
      <x:c r="L71" s="90" t="n">
        <x:f>COUNTIF(VARIAN_STOK!$D$2:$D$333,$A71)</x:f>
        <x:v>1</x:v>
      </x:c>
      <x:c r="M71" s="69" t="str"/>
      <x:c r="N71" s="69" t="str">
        <x:v>4-6Y</x:v>
      </x:c>
      <x:c r="O71" s="69" t="str"/>
      <x:c r="P71" s="69" t="str"/>
      <x:c r="Q71" s="69" t="str"/>
      <x:c r="R71" s="69" t="str"/>
      <x:c r="S71" s="69" t="str"/>
      <x:c r="T71" s="69" t="str"/>
      <x:c r="U71" s="69" t="str">
        <x:v>Tidak</x:v>
      </x:c>
      <x:c r="V71" s="69" t="str">
        <x:v>Tidak</x:v>
      </x:c>
      <x:c r="W71" s="69" t="str">
        <x:v>Aktif</x:v>
      </x:c>
      <x:c r="X71" s="70" t="str"/>
    </x:row>
    <x:row r="72">
      <x:c r="A72" s="96" t="str">
        <x:v>PRD0071</x:v>
      </x:c>
      <x:c r="B72" s="69" t="str">
        <x:v>puru-kambera-naree-knit-stormy</x:v>
      </x:c>
      <x:c r="C72" s="102" t="n">
        <x:v>4</x:v>
      </x:c>
      <x:c r="D72" s="108" t="str">
        <x:v>PURU KAMBERA</x:v>
      </x:c>
      <x:c r="E72" s="69" t="str">
        <x:v>Naree Knit Stormy</x:v>
      </x:c>
      <x:c r="F72" s="69" t="str">
        <x:v>Sweater</x:v>
      </x:c>
      <x:c r="G72" s="69" t="str">
        <x:v>Dewasa</x:v>
      </x:c>
      <x:c r="H72" s="69" t="str">
        <x:v>Baru</x:v>
      </x:c>
      <x:c r="I72" s="84" t="n">
        <x:f>MINIFS(VARIAN_STOK!$H$2:$H$333,VARIAN_STOK!$D$2:$D$333,$A72)</x:f>
        <x:v>449900</x:v>
      </x:c>
      <x:c r="J72" s="84" t="n">
        <x:f>MAXIFS(VARIAN_STOK!$H$2:$H$333,VARIAN_STOK!$D$2:$D$333,$A72)</x:f>
        <x:v>449900</x:v>
      </x:c>
      <x:c r="K72" s="90" t="n">
        <x:f>SUMIF(VARIAN_STOK!$D$2:$D$333,$A72,VARIAN_STOK!$I$2:$I$333)</x:f>
        <x:v>1</x:v>
      </x:c>
      <x:c r="L72" s="90" t="n">
        <x:f>COUNTIF(VARIAN_STOK!$D$2:$D$333,$A72)</x:f>
        <x:v>1</x:v>
      </x:c>
      <x:c r="M72" s="69" t="str"/>
      <x:c r="N72" s="69" t="str"/>
      <x:c r="O72" s="69" t="str"/>
      <x:c r="P72" s="69" t="str"/>
      <x:c r="Q72" s="69" t="str"/>
      <x:c r="R72" s="69" t="str"/>
      <x:c r="S72" s="69" t="str"/>
      <x:c r="T72" s="69" t="str"/>
      <x:c r="U72" s="69" t="str">
        <x:v>Tidak</x:v>
      </x:c>
      <x:c r="V72" s="69" t="str">
        <x:v>Tidak</x:v>
      </x:c>
      <x:c r="W72" s="69" t="str">
        <x:v>Aktif</x:v>
      </x:c>
      <x:c r="X72" s="70" t="str"/>
    </x:row>
    <x:row r="73">
      <x:c r="A73" s="96" t="str">
        <x:v>PRD0072</x:v>
      </x:c>
      <x:c r="B73" s="69" t="str">
        <x:v>puru-kambera-passion-cardigan-kids-l-xl</x:v>
      </x:c>
      <x:c r="C73" s="102" t="n">
        <x:v>4</x:v>
      </x:c>
      <x:c r="D73" s="108" t="str">
        <x:v>PURU KAMBERA</x:v>
      </x:c>
      <x:c r="E73" s="69" t="str">
        <x:v>Passion Cardigan Kids / L-XL</x:v>
      </x:c>
      <x:c r="F73" s="69" t="str">
        <x:v>Sweater</x:v>
      </x:c>
      <x:c r="G73" s="69" t="str">
        <x:v>Anak</x:v>
      </x:c>
      <x:c r="H73" s="69" t="str">
        <x:v>Baru</x:v>
      </x:c>
      <x:c r="I73" s="84" t="n">
        <x:f>MINIFS(VARIAN_STOK!$H$2:$H$333,VARIAN_STOK!$D$2:$D$333,$A73)</x:f>
        <x:v>350400</x:v>
      </x:c>
      <x:c r="J73" s="84" t="n">
        <x:f>MAXIFS(VARIAN_STOK!$H$2:$H$333,VARIAN_STOK!$D$2:$D$333,$A73)</x:f>
        <x:v>350400</x:v>
      </x:c>
      <x:c r="K73" s="90" t="n">
        <x:f>SUMIF(VARIAN_STOK!$D$2:$D$333,$A73,VARIAN_STOK!$I$2:$I$333)</x:f>
        <x:v>1</x:v>
      </x:c>
      <x:c r="L73" s="90" t="n">
        <x:f>COUNTIF(VARIAN_STOK!$D$2:$D$333,$A73)</x:f>
        <x:v>1</x:v>
      </x:c>
      <x:c r="M73" s="69" t="str"/>
      <x:c r="N73" s="69" t="str">
        <x:v>8-10Y</x:v>
      </x:c>
      <x:c r="O73" s="69" t="str"/>
      <x:c r="P73" s="69" t="str"/>
      <x:c r="Q73" s="69" t="str"/>
      <x:c r="R73" s="69" t="str"/>
      <x:c r="S73" s="69" t="str"/>
      <x:c r="T73" s="69" t="str"/>
      <x:c r="U73" s="69" t="str">
        <x:v>Tidak</x:v>
      </x:c>
      <x:c r="V73" s="69" t="str">
        <x:v>Tidak</x:v>
      </x:c>
      <x:c r="W73" s="69" t="str">
        <x:v>Aktif</x:v>
      </x:c>
      <x:c r="X73" s="70" t="str"/>
    </x:row>
    <x:row r="74">
      <x:c r="A74" s="96" t="str">
        <x:v>PRD0073</x:v>
      </x:c>
      <x:c r="B74" s="69" t="str">
        <x:v>puru-kambera-passion-cardigan-kids-s-m</x:v>
      </x:c>
      <x:c r="C74" s="102" t="n">
        <x:v>4</x:v>
      </x:c>
      <x:c r="D74" s="108" t="str">
        <x:v>PURU KAMBERA</x:v>
      </x:c>
      <x:c r="E74" s="69" t="str">
        <x:v>Passion Cardigan Kids / S-M</x:v>
      </x:c>
      <x:c r="F74" s="69" t="str">
        <x:v>Sweater</x:v>
      </x:c>
      <x:c r="G74" s="69" t="str">
        <x:v>Anak</x:v>
      </x:c>
      <x:c r="H74" s="69" t="str">
        <x:v>Baru</x:v>
      </x:c>
      <x:c r="I74" s="84" t="n">
        <x:f>MINIFS(VARIAN_STOK!$H$2:$H$333,VARIAN_STOK!$D$2:$D$333,$A74)</x:f>
        <x:v>350400</x:v>
      </x:c>
      <x:c r="J74" s="84" t="n">
        <x:f>MAXIFS(VARIAN_STOK!$H$2:$H$333,VARIAN_STOK!$D$2:$D$333,$A74)</x:f>
        <x:v>350400</x:v>
      </x:c>
      <x:c r="K74" s="90" t="n">
        <x:f>SUMIF(VARIAN_STOK!$D$2:$D$333,$A74,VARIAN_STOK!$I$2:$I$333)</x:f>
        <x:v>2</x:v>
      </x:c>
      <x:c r="L74" s="90" t="n">
        <x:f>COUNTIF(VARIAN_STOK!$D$2:$D$333,$A74)</x:f>
        <x:v>1</x:v>
      </x:c>
      <x:c r="M74" s="69" t="str"/>
      <x:c r="N74" s="69" t="str">
        <x:v>4-6Y</x:v>
      </x:c>
      <x:c r="O74" s="69" t="str"/>
      <x:c r="P74" s="69" t="str"/>
      <x:c r="Q74" s="69" t="str"/>
      <x:c r="R74" s="69" t="str"/>
      <x:c r="S74" s="69" t="str"/>
      <x:c r="T74" s="69" t="str"/>
      <x:c r="U74" s="69" t="str">
        <x:v>Tidak</x:v>
      </x:c>
      <x:c r="V74" s="69" t="str">
        <x:v>Tidak</x:v>
      </x:c>
      <x:c r="W74" s="69" t="str">
        <x:v>Aktif</x:v>
      </x:c>
      <x:c r="X74" s="70" t="str"/>
    </x:row>
    <x:row r="75">
      <x:c r="A75" s="96" t="str">
        <x:v>PRD0074</x:v>
      </x:c>
      <x:c r="B75" s="69" t="str">
        <x:v>puru-kambera-warrior-s-heart-knitwear</x:v>
      </x:c>
      <x:c r="C75" s="102" t="n">
        <x:v>4</x:v>
      </x:c>
      <x:c r="D75" s="108" t="str">
        <x:v>PURU KAMBERA</x:v>
      </x:c>
      <x:c r="E75" s="69" t="str">
        <x:v>Warrior's Heart Knitwear</x:v>
      </x:c>
      <x:c r="F75" s="69" t="str">
        <x:v>Sweater</x:v>
      </x:c>
      <x:c r="G75" s="69" t="str">
        <x:v>Dewasa</x:v>
      </x:c>
      <x:c r="H75" s="69" t="str">
        <x:v>Baru</x:v>
      </x:c>
      <x:c r="I75" s="84" t="n">
        <x:f>MINIFS(VARIAN_STOK!$H$2:$H$333,VARIAN_STOK!$D$2:$D$333,$A75)</x:f>
        <x:v>499900</x:v>
      </x:c>
      <x:c r="J75" s="84" t="n">
        <x:f>MAXIFS(VARIAN_STOK!$H$2:$H$333,VARIAN_STOK!$D$2:$D$333,$A75)</x:f>
        <x:v>499900</x:v>
      </x:c>
      <x:c r="K75" s="90" t="n">
        <x:f>SUMIF(VARIAN_STOK!$D$2:$D$333,$A75,VARIAN_STOK!$I$2:$I$333)</x:f>
        <x:v>2</x:v>
      </x:c>
      <x:c r="L75" s="90" t="n">
        <x:f>COUNTIF(VARIAN_STOK!$D$2:$D$333,$A75)</x:f>
        <x:v>1</x:v>
      </x:c>
      <x:c r="M75" s="69" t="str">
        <x:v>Creme</x:v>
      </x:c>
      <x:c r="N75" s="69" t="str"/>
      <x:c r="O75" s="69" t="str"/>
      <x:c r="P75" s="69" t="str"/>
      <x:c r="Q75" s="69" t="str"/>
      <x:c r="R75" s="69" t="str"/>
      <x:c r="S75" s="69" t="str"/>
      <x:c r="T75" s="69" t="str"/>
      <x:c r="U75" s="69" t="str">
        <x:v>Tidak</x:v>
      </x:c>
      <x:c r="V75" s="69" t="str">
        <x:v>Tidak</x:v>
      </x:c>
      <x:c r="W75" s="69" t="str">
        <x:v>Aktif</x:v>
      </x:c>
      <x:c r="X75" s="70" t="str"/>
    </x:row>
    <x:row r="76">
      <x:c r="A76" s="96" t="str">
        <x:v>PRD0075</x:v>
      </x:c>
      <x:c r="B76" s="69" t="str">
        <x:v>puru-kambera-daria-girls-tunic</x:v>
      </x:c>
      <x:c r="C76" s="102" t="n">
        <x:v>4</x:v>
      </x:c>
      <x:c r="D76" s="108" t="str">
        <x:v>PURU KAMBERA</x:v>
      </x:c>
      <x:c r="E76" s="69" t="str">
        <x:v>Daria Girls Tunic</x:v>
      </x:c>
      <x:c r="F76" s="69" t="str">
        <x:v>Tunic</x:v>
      </x:c>
      <x:c r="G76" s="69" t="str">
        <x:v>Dewasa</x:v>
      </x:c>
      <x:c r="H76" s="69" t="str">
        <x:v>Baru</x:v>
      </x:c>
      <x:c r="I76" s="84" t="n">
        <x:f>MINIFS(VARIAN_STOK!$H$2:$H$333,VARIAN_STOK!$D$2:$D$333,$A76)</x:f>
        <x:v>343000</x:v>
      </x:c>
      <x:c r="J76" s="84" t="n">
        <x:f>MAXIFS(VARIAN_STOK!$H$2:$H$333,VARIAN_STOK!$D$2:$D$333,$A76)</x:f>
        <x:v>343000</x:v>
      </x:c>
      <x:c r="K76" s="90" t="n">
        <x:f>SUMIF(VARIAN_STOK!$D$2:$D$333,$A76,VARIAN_STOK!$I$2:$I$333)</x:f>
        <x:v>1</x:v>
      </x:c>
      <x:c r="L76" s="90" t="n">
        <x:f>COUNTIF(VARIAN_STOK!$D$2:$D$333,$A76)</x:f>
        <x:v>1</x:v>
      </x:c>
      <x:c r="M76" s="69" t="str"/>
      <x:c r="N76" s="69" t="str">
        <x:v>5-6 Y</x:v>
      </x:c>
      <x:c r="O76" s="69" t="str"/>
      <x:c r="P76" s="69" t="str"/>
      <x:c r="Q76" s="69" t="str"/>
      <x:c r="R76" s="69" t="str"/>
      <x:c r="S76" s="69" t="str"/>
      <x:c r="T76" s="69" t="str"/>
      <x:c r="U76" s="69" t="str">
        <x:v>Tidak</x:v>
      </x:c>
      <x:c r="V76" s="69" t="str">
        <x:v>Tidak</x:v>
      </x:c>
      <x:c r="W76" s="69" t="str">
        <x:v>Aktif</x:v>
      </x:c>
      <x:c r="X76" s="70" t="str"/>
    </x:row>
    <x:row r="77">
      <x:c r="A77" s="96" t="str">
        <x:v>PRD0076</x:v>
      </x:c>
      <x:c r="B77" s="69" t="str">
        <x:v>puru-kambera-elara-tunic</x:v>
      </x:c>
      <x:c r="C77" s="102" t="n">
        <x:v>4</x:v>
      </x:c>
      <x:c r="D77" s="108" t="str">
        <x:v>PURU KAMBERA</x:v>
      </x:c>
      <x:c r="E77" s="69" t="str">
        <x:v>Elara Tunic</x:v>
      </x:c>
      <x:c r="F77" s="69" t="str">
        <x:v>Tunic</x:v>
      </x:c>
      <x:c r="G77" s="69" t="str">
        <x:v>Dewasa</x:v>
      </x:c>
      <x:c r="H77" s="69" t="str">
        <x:v>Baru</x:v>
      </x:c>
      <x:c r="I77" s="84" t="n">
        <x:f>MINIFS(VARIAN_STOK!$H$2:$H$333,VARIAN_STOK!$D$2:$D$333,$A77)</x:f>
        <x:v>437800</x:v>
      </x:c>
      <x:c r="J77" s="84" t="n">
        <x:f>MAXIFS(VARIAN_STOK!$H$2:$H$333,VARIAN_STOK!$D$2:$D$333,$A77)</x:f>
        <x:v>437800</x:v>
      </x:c>
      <x:c r="K77" s="90" t="n">
        <x:f>SUMIF(VARIAN_STOK!$D$2:$D$333,$A77,VARIAN_STOK!$I$2:$I$333)</x:f>
        <x:v>2</x:v>
      </x:c>
      <x:c r="L77" s="90" t="n">
        <x:f>COUNTIF(VARIAN_STOK!$D$2:$D$333,$A77)</x:f>
        <x:v>1</x:v>
      </x:c>
      <x:c r="M77" s="69" t="str"/>
      <x:c r="N77" s="69" t="str"/>
      <x:c r="O77" s="69" t="str"/>
      <x:c r="P77" s="69" t="str"/>
      <x:c r="Q77" s="69" t="str"/>
      <x:c r="R77" s="69" t="str"/>
      <x:c r="S77" s="69" t="str"/>
      <x:c r="T77" s="69" t="str"/>
      <x:c r="U77" s="69" t="str">
        <x:v>Tidak</x:v>
      </x:c>
      <x:c r="V77" s="69" t="str">
        <x:v>Tidak</x:v>
      </x:c>
      <x:c r="W77" s="69" t="str">
        <x:v>Aktif</x:v>
      </x:c>
      <x:c r="X77" s="70" t="str"/>
    </x:row>
    <x:row r="78">
      <x:c r="A78" s="96" t="str">
        <x:v>PRD0077</x:v>
      </x:c>
      <x:c r="B78" s="69" t="str">
        <x:v>puru-kambera-kinan-tunic</x:v>
      </x:c>
      <x:c r="C78" s="102" t="n">
        <x:v>4</x:v>
      </x:c>
      <x:c r="D78" s="108" t="str">
        <x:v>PURU KAMBERA</x:v>
      </x:c>
      <x:c r="E78" s="69" t="str">
        <x:v>Kinan Tunic</x:v>
      </x:c>
      <x:c r="F78" s="69" t="str">
        <x:v>Tunic</x:v>
      </x:c>
      <x:c r="G78" s="69" t="str">
        <x:v>Dewasa</x:v>
      </x:c>
      <x:c r="H78" s="69" t="str">
        <x:v>Baru</x:v>
      </x:c>
      <x:c r="I78" s="84" t="n">
        <x:f>MINIFS(VARIAN_STOK!$H$2:$H$333,VARIAN_STOK!$D$2:$D$333,$A78)</x:f>
        <x:v>409900</x:v>
      </x:c>
      <x:c r="J78" s="84" t="n">
        <x:f>MAXIFS(VARIAN_STOK!$H$2:$H$333,VARIAN_STOK!$D$2:$D$333,$A78)</x:f>
        <x:v>409900</x:v>
      </x:c>
      <x:c r="K78" s="90" t="n">
        <x:f>SUMIF(VARIAN_STOK!$D$2:$D$333,$A78,VARIAN_STOK!$I$2:$I$333)</x:f>
        <x:v>3</x:v>
      </x:c>
      <x:c r="L78" s="90" t="n">
        <x:f>COUNTIF(VARIAN_STOK!$D$2:$D$333,$A78)</x:f>
        <x:v>1</x:v>
      </x:c>
      <x:c r="M78" s="69" t="str"/>
      <x:c r="N78" s="69" t="str"/>
      <x:c r="O78" s="69" t="str"/>
      <x:c r="P78" s="69" t="str"/>
      <x:c r="Q78" s="69" t="str"/>
      <x:c r="R78" s="69" t="str"/>
      <x:c r="S78" s="69" t="str"/>
      <x:c r="T78" s="69" t="str"/>
      <x:c r="U78" s="69" t="str">
        <x:v>Tidak</x:v>
      </x:c>
      <x:c r="V78" s="69" t="str">
        <x:v>Tidak</x:v>
      </x:c>
      <x:c r="W78" s="69" t="str">
        <x:v>Aktif</x:v>
      </x:c>
      <x:c r="X78" s="70" t="str"/>
    </x:row>
    <x:row r="79">
      <x:c r="A79" s="96" t="str">
        <x:v>PRD0078</x:v>
      </x:c>
      <x:c r="B79" s="69" t="str">
        <x:v>puru-kambera-miraya-tunic</x:v>
      </x:c>
      <x:c r="C79" s="102" t="n">
        <x:v>4</x:v>
      </x:c>
      <x:c r="D79" s="108" t="str">
        <x:v>PURU KAMBERA</x:v>
      </x:c>
      <x:c r="E79" s="69" t="str">
        <x:v>Miraya Tunic</x:v>
      </x:c>
      <x:c r="F79" s="69" t="str">
        <x:v>Tunic</x:v>
      </x:c>
      <x:c r="G79" s="69" t="str">
        <x:v>Dewasa</x:v>
      </x:c>
      <x:c r="H79" s="69" t="str">
        <x:v>Baru</x:v>
      </x:c>
      <x:c r="I79" s="84" t="n">
        <x:f>MINIFS(VARIAN_STOK!$H$2:$H$333,VARIAN_STOK!$D$2:$D$333,$A79)</x:f>
        <x:v>437800</x:v>
      </x:c>
      <x:c r="J79" s="84" t="n">
        <x:f>MAXIFS(VARIAN_STOK!$H$2:$H$333,VARIAN_STOK!$D$2:$D$333,$A79)</x:f>
        <x:v>437800</x:v>
      </x:c>
      <x:c r="K79" s="90" t="n">
        <x:f>SUMIF(VARIAN_STOK!$D$2:$D$333,$A79,VARIAN_STOK!$I$2:$I$333)</x:f>
        <x:v>1</x:v>
      </x:c>
      <x:c r="L79" s="90" t="n">
        <x:f>COUNTIF(VARIAN_STOK!$D$2:$D$333,$A79)</x:f>
        <x:v>1</x:v>
      </x:c>
      <x:c r="M79" s="69" t="str"/>
      <x:c r="N79" s="69" t="str"/>
      <x:c r="O79" s="69" t="str"/>
      <x:c r="P79" s="69" t="str"/>
      <x:c r="Q79" s="69" t="str"/>
      <x:c r="R79" s="69" t="str"/>
      <x:c r="S79" s="69" t="str"/>
      <x:c r="T79" s="69" t="str"/>
      <x:c r="U79" s="69" t="str">
        <x:v>Tidak</x:v>
      </x:c>
      <x:c r="V79" s="69" t="str">
        <x:v>Tidak</x:v>
      </x:c>
      <x:c r="W79" s="69" t="str">
        <x:v>Aktif</x:v>
      </x:c>
      <x:c r="X79" s="70" t="str"/>
    </x:row>
    <x:row r="80">
      <x:c r="A80" s="96" t="str">
        <x:v>PRD0079</x:v>
      </x:c>
      <x:c r="B80" s="69" t="str">
        <x:v>tututbi-handmade-hibiscus-brooch</x:v>
      </x:c>
      <x:c r="C80" s="102" t="n">
        <x:v>6</x:v>
      </x:c>
      <x:c r="D80" s="108" t="str">
        <x:v>TUTUTBI HANDMADE</x:v>
      </x:c>
      <x:c r="E80" s="69" t="str">
        <x:v>Hibiscus Brooch</x:v>
      </x:c>
      <x:c r="F80" s="69" t="str">
        <x:v>Aksesoris</x:v>
      </x:c>
      <x:c r="G80" s="69" t="str">
        <x:v>Dewasa</x:v>
      </x:c>
      <x:c r="H80" s="69" t="str">
        <x:v>Baru</x:v>
      </x:c>
      <x:c r="I80" s="84" t="n">
        <x:f>MINIFS(VARIAN_STOK!$H$2:$H$333,VARIAN_STOK!$D$2:$D$333,$A80)</x:f>
        <x:v>50000</x:v>
      </x:c>
      <x:c r="J80" s="84" t="n">
        <x:f>MAXIFS(VARIAN_STOK!$H$2:$H$333,VARIAN_STOK!$D$2:$D$333,$A80)</x:f>
        <x:v>50000</x:v>
      </x:c>
      <x:c r="K80" s="90" t="n">
        <x:f>SUMIF(VARIAN_STOK!$D$2:$D$333,$A80,VARIAN_STOK!$I$2:$I$333)</x:f>
        <x:v>1</x:v>
      </x:c>
      <x:c r="L80" s="90" t="n">
        <x:f>COUNTIF(VARIAN_STOK!$D$2:$D$333,$A80)</x:f>
        <x:v>1</x:v>
      </x:c>
      <x:c r="M80" s="69" t="str">
        <x:v>White Pearls</x:v>
      </x:c>
      <x:c r="N80" s="69" t="str"/>
      <x:c r="O80" s="69" t="str"/>
      <x:c r="P80" s="69" t="str"/>
      <x:c r="Q80" s="69" t="str"/>
      <x:c r="R80" s="69" t="str"/>
      <x:c r="S80" s="69" t="str"/>
      <x:c r="T80" s="69" t="str"/>
      <x:c r="U80" s="69" t="str">
        <x:v>Tidak</x:v>
      </x:c>
      <x:c r="V80" s="69" t="str">
        <x:v>Tidak</x:v>
      </x:c>
      <x:c r="W80" s="69" t="str">
        <x:v>Aktif</x:v>
      </x:c>
      <x:c r="X80" s="70" t="str"/>
    </x:row>
    <x:row r="81">
      <x:c r="A81" s="96" t="str">
        <x:v>PRD0080</x:v>
      </x:c>
      <x:c r="B81" s="69" t="str">
        <x:v>tututbi-handmade-matcha-earring</x:v>
      </x:c>
      <x:c r="C81" s="102" t="n">
        <x:v>6</x:v>
      </x:c>
      <x:c r="D81" s="108" t="str">
        <x:v>TUTUTBI HANDMADE</x:v>
      </x:c>
      <x:c r="E81" s="69" t="str">
        <x:v>Matcha Earring</x:v>
      </x:c>
      <x:c r="F81" s="69" t="str">
        <x:v>Aksesoris</x:v>
      </x:c>
      <x:c r="G81" s="69" t="str">
        <x:v>Dewasa</x:v>
      </x:c>
      <x:c r="H81" s="69" t="str">
        <x:v>Baru</x:v>
      </x:c>
      <x:c r="I81" s="84" t="n">
        <x:f>MINIFS(VARIAN_STOK!$H$2:$H$333,VARIAN_STOK!$D$2:$D$333,$A81)</x:f>
        <x:v>95000</x:v>
      </x:c>
      <x:c r="J81" s="84" t="n">
        <x:f>MAXIFS(VARIAN_STOK!$H$2:$H$333,VARIAN_STOK!$D$2:$D$333,$A81)</x:f>
        <x:v>95000</x:v>
      </x:c>
      <x:c r="K81" s="90" t="n">
        <x:f>SUMIF(VARIAN_STOK!$D$2:$D$333,$A81,VARIAN_STOK!$I$2:$I$333)</x:f>
        <x:v>1</x:v>
      </x:c>
      <x:c r="L81" s="90" t="n">
        <x:f>COUNTIF(VARIAN_STOK!$D$2:$D$333,$A81)</x:f>
        <x:v>1</x:v>
      </x:c>
      <x:c r="M81" s="69" t="str"/>
      <x:c r="N81" s="69" t="str"/>
      <x:c r="O81" s="69" t="str"/>
      <x:c r="P81" s="69" t="str"/>
      <x:c r="Q81" s="69" t="str"/>
      <x:c r="R81" s="69" t="str"/>
      <x:c r="S81" s="69" t="str"/>
      <x:c r="T81" s="69" t="str"/>
      <x:c r="U81" s="69" t="str">
        <x:v>Tidak</x:v>
      </x:c>
      <x:c r="V81" s="69" t="str">
        <x:v>Tidak</x:v>
      </x:c>
      <x:c r="W81" s="69" t="str">
        <x:v>Aktif</x:v>
      </x:c>
      <x:c r="X81" s="70" t="str"/>
    </x:row>
    <x:row r="82">
      <x:c r="A82" s="96" t="str">
        <x:v>PRD0081</x:v>
      </x:c>
      <x:c r="B82" s="69" t="str">
        <x:v>tututbi-handmade-rosee-brooch</x:v>
      </x:c>
      <x:c r="C82" s="102" t="n">
        <x:v>6</x:v>
      </x:c>
      <x:c r="D82" s="108" t="str">
        <x:v>TUTUTBI HANDMADE</x:v>
      </x:c>
      <x:c r="E82" s="69" t="str">
        <x:v>Rosee Brooch</x:v>
      </x:c>
      <x:c r="F82" s="69" t="str">
        <x:v>Aksesoris</x:v>
      </x:c>
      <x:c r="G82" s="69" t="str">
        <x:v>Dewasa</x:v>
      </x:c>
      <x:c r="H82" s="69" t="str">
        <x:v>Baru</x:v>
      </x:c>
      <x:c r="I82" s="84" t="n">
        <x:f>MINIFS(VARIAN_STOK!$H$2:$H$333,VARIAN_STOK!$D$2:$D$333,$A82)</x:f>
        <x:v>125000</x:v>
      </x:c>
      <x:c r="J82" s="84" t="n">
        <x:f>MAXIFS(VARIAN_STOK!$H$2:$H$333,VARIAN_STOK!$D$2:$D$333,$A82)</x:f>
        <x:v>125000</x:v>
      </x:c>
      <x:c r="K82" s="90" t="n">
        <x:f>SUMIF(VARIAN_STOK!$D$2:$D$333,$A82,VARIAN_STOK!$I$2:$I$333)</x:f>
        <x:v>1</x:v>
      </x:c>
      <x:c r="L82" s="90" t="n">
        <x:f>COUNTIF(VARIAN_STOK!$D$2:$D$333,$A82)</x:f>
        <x:v>1</x:v>
      </x:c>
      <x:c r="M82" s="69" t="str"/>
      <x:c r="N82" s="69" t="str"/>
      <x:c r="O82" s="69" t="str"/>
      <x:c r="P82" s="69" t="str"/>
      <x:c r="Q82" s="69" t="str"/>
      <x:c r="R82" s="69" t="str"/>
      <x:c r="S82" s="69" t="str"/>
      <x:c r="T82" s="69" t="str"/>
      <x:c r="U82" s="69" t="str">
        <x:v>Tidak</x:v>
      </x:c>
      <x:c r="V82" s="69" t="str">
        <x:v>Tidak</x:v>
      </x:c>
      <x:c r="W82" s="69" t="str">
        <x:v>Aktif</x:v>
      </x:c>
      <x:c r="X82" s="70" t="str"/>
    </x:row>
    <x:row r="83">
      <x:c r="A83" s="96" t="str">
        <x:v>PRD0082</x:v>
      </x:c>
      <x:c r="B83" s="69" t="str">
        <x:v>tututbi-handmade-tiara-brooch</x:v>
      </x:c>
      <x:c r="C83" s="102" t="n">
        <x:v>6</x:v>
      </x:c>
      <x:c r="D83" s="108" t="str">
        <x:v>TUTUTBI HANDMADE</x:v>
      </x:c>
      <x:c r="E83" s="69" t="str">
        <x:v>Tiara Brooch</x:v>
      </x:c>
      <x:c r="F83" s="69" t="str">
        <x:v>Aksesoris</x:v>
      </x:c>
      <x:c r="G83" s="69" t="str">
        <x:v>Dewasa</x:v>
      </x:c>
      <x:c r="H83" s="69" t="str">
        <x:v>Baru</x:v>
      </x:c>
      <x:c r="I83" s="84" t="n">
        <x:f>MINIFS(VARIAN_STOK!$H$2:$H$333,VARIAN_STOK!$D$2:$D$333,$A83)</x:f>
        <x:v>125000</x:v>
      </x:c>
      <x:c r="J83" s="84" t="n">
        <x:f>MAXIFS(VARIAN_STOK!$H$2:$H$333,VARIAN_STOK!$D$2:$D$333,$A83)</x:f>
        <x:v>125000</x:v>
      </x:c>
      <x:c r="K83" s="90" t="n">
        <x:f>SUMIF(VARIAN_STOK!$D$2:$D$333,$A83,VARIAN_STOK!$I$2:$I$333)</x:f>
        <x:v>1</x:v>
      </x:c>
      <x:c r="L83" s="90" t="n">
        <x:f>COUNTIF(VARIAN_STOK!$D$2:$D$333,$A83)</x:f>
        <x:v>1</x:v>
      </x:c>
      <x:c r="M83" s="69" t="str"/>
      <x:c r="N83" s="69" t="str"/>
      <x:c r="O83" s="69" t="str"/>
      <x:c r="P83" s="69" t="str"/>
      <x:c r="Q83" s="69" t="str"/>
      <x:c r="R83" s="69" t="str"/>
      <x:c r="S83" s="69" t="str"/>
      <x:c r="T83" s="69" t="str"/>
      <x:c r="U83" s="69" t="str">
        <x:v>Tidak</x:v>
      </x:c>
      <x:c r="V83" s="69" t="str">
        <x:v>Tidak</x:v>
      </x:c>
      <x:c r="W83" s="69" t="str">
        <x:v>Aktif</x:v>
      </x:c>
      <x:c r="X83" s="70" t="str"/>
    </x:row>
    <x:row r="84">
      <x:c r="A84" s="96" t="str">
        <x:v>PRD0083</x:v>
      </x:c>
      <x:c r="B84" s="69" t="str">
        <x:v>tututbi-handmade-zamrud-brooch</x:v>
      </x:c>
      <x:c r="C84" s="102" t="n">
        <x:v>6</x:v>
      </x:c>
      <x:c r="D84" s="108" t="str">
        <x:v>TUTUTBI HANDMADE</x:v>
      </x:c>
      <x:c r="E84" s="69" t="str">
        <x:v>Zamrud Brooch</x:v>
      </x:c>
      <x:c r="F84" s="69" t="str">
        <x:v>Aksesoris</x:v>
      </x:c>
      <x:c r="G84" s="69" t="str">
        <x:v>Dewasa</x:v>
      </x:c>
      <x:c r="H84" s="69" t="str">
        <x:v>Baru</x:v>
      </x:c>
      <x:c r="I84" s="84" t="n">
        <x:f>MINIFS(VARIAN_STOK!$H$2:$H$333,VARIAN_STOK!$D$2:$D$333,$A84)</x:f>
        <x:v>125000</x:v>
      </x:c>
      <x:c r="J84" s="84" t="n">
        <x:f>MAXIFS(VARIAN_STOK!$H$2:$H$333,VARIAN_STOK!$D$2:$D$333,$A84)</x:f>
        <x:v>125000</x:v>
      </x:c>
      <x:c r="K84" s="90" t="n">
        <x:f>SUMIF(VARIAN_STOK!$D$2:$D$333,$A84,VARIAN_STOK!$I$2:$I$333)</x:f>
        <x:v>2</x:v>
      </x:c>
      <x:c r="L84" s="90" t="n">
        <x:f>COUNTIF(VARIAN_STOK!$D$2:$D$333,$A84)</x:f>
        <x:v>1</x:v>
      </x:c>
      <x:c r="M84" s="69" t="str">
        <x:v>White, Gold &amp; Green</x:v>
      </x:c>
      <x:c r="N84" s="69" t="str"/>
      <x:c r="O84" s="69" t="str"/>
      <x:c r="P84" s="69" t="str"/>
      <x:c r="Q84" s="69" t="str"/>
      <x:c r="R84" s="69" t="str"/>
      <x:c r="S84" s="69" t="str"/>
      <x:c r="T84" s="69" t="str"/>
      <x:c r="U84" s="69" t="str">
        <x:v>Tidak</x:v>
      </x:c>
      <x:c r="V84" s="69" t="str">
        <x:v>Tidak</x:v>
      </x:c>
      <x:c r="W84" s="69" t="str">
        <x:v>Aktif</x:v>
      </x:c>
      <x:c r="X84" s="70" t="str"/>
    </x:row>
    <x:row r="85">
      <x:c r="A85" s="96" t="str">
        <x:v>PRD0084</x:v>
      </x:c>
      <x:c r="B85" s="69" t="str">
        <x:v>box-box-hampers</x:v>
      </x:c>
      <x:c r="C85" s="102" t="n">
        <x:v>7</x:v>
      </x:c>
      <x:c r="D85" s="108" t="str">
        <x:v>BOX</x:v>
      </x:c>
      <x:c r="E85" s="69" t="str">
        <x:v>Box Hampers</x:v>
      </x:c>
      <x:c r="F85" s="69" t="str">
        <x:v>Aksesoris</x:v>
      </x:c>
      <x:c r="G85" s="69" t="str">
        <x:v>Dewasa</x:v>
      </x:c>
      <x:c r="H85" s="69" t="str">
        <x:v>Baru</x:v>
      </x:c>
      <x:c r="I85" s="84" t="n">
        <x:f>MINIFS(VARIAN_STOK!$H$2:$H$333,VARIAN_STOK!$D$2:$D$333,$A85)</x:f>
        <x:v>5000</x:v>
      </x:c>
      <x:c r="J85" s="84" t="n">
        <x:f>MAXIFS(VARIAN_STOK!$H$2:$H$333,VARIAN_STOK!$D$2:$D$333,$A85)</x:f>
        <x:v>15000</x:v>
      </x:c>
      <x:c r="K85" s="90" t="n">
        <x:f>SUMIF(VARIAN_STOK!$D$2:$D$333,$A85,VARIAN_STOK!$I$2:$I$333)</x:f>
        <x:v>145</x:v>
      </x:c>
      <x:c r="L85" s="90" t="n">
        <x:f>COUNTIF(VARIAN_STOK!$D$2:$D$333,$A85)</x:f>
        <x:v>3</x:v>
      </x:c>
      <x:c r="M85" s="69" t="str"/>
      <x:c r="N85" s="69" t="str">
        <x:v>L, M, S</x:v>
      </x:c>
      <x:c r="O85" s="69" t="str"/>
      <x:c r="P85" s="69" t="str"/>
      <x:c r="Q85" s="69" t="str"/>
      <x:c r="R85" s="69" t="str"/>
      <x:c r="S85" s="69" t="str"/>
      <x:c r="T85" s="69" t="str"/>
      <x:c r="U85" s="69" t="str">
        <x:v>Tidak</x:v>
      </x:c>
      <x:c r="V85" s="69" t="str">
        <x:v>Tidak</x:v>
      </x:c>
      <x:c r="W85" s="69" t="str">
        <x:v>Aktif</x:v>
      </x:c>
      <x:c r="X85" s="70" t="str"/>
    </x:row>
    <x:row r="86">
      <x:c r="A86" s="96" t="str">
        <x:v>PRD0085</x:v>
      </x:c>
      <x:c r="B86" s="69" t="str">
        <x:v>bamboo-studio-izreen-pants</x:v>
      </x:c>
      <x:c r="C86" s="102" t="n">
        <x:v>9</x:v>
      </x:c>
      <x:c r="D86" s="108" t="str">
        <x:v>BAMBOO STUDIO</x:v>
      </x:c>
      <x:c r="E86" s="69" t="str">
        <x:v>Izreen Pants</x:v>
      </x:c>
      <x:c r="F86" s="69" t="str">
        <x:v>Pants</x:v>
      </x:c>
      <x:c r="G86" s="69" t="str">
        <x:v>Dewasa</x:v>
      </x:c>
      <x:c r="H86" s="69" t="str">
        <x:v>Baru</x:v>
      </x:c>
      <x:c r="I86" s="84" t="n">
        <x:f>MINIFS(VARIAN_STOK!$H$2:$H$333,VARIAN_STOK!$D$2:$D$333,$A86)</x:f>
        <x:v>405000</x:v>
      </x:c>
      <x:c r="J86" s="84" t="n">
        <x:f>MAXIFS(VARIAN_STOK!$H$2:$H$333,VARIAN_STOK!$D$2:$D$333,$A86)</x:f>
        <x:v>405000</x:v>
      </x:c>
      <x:c r="K86" s="90" t="n">
        <x:f>SUMIF(VARIAN_STOK!$D$2:$D$333,$A86,VARIAN_STOK!$I$2:$I$333)</x:f>
        <x:v>1</x:v>
      </x:c>
      <x:c r="L86" s="90" t="n">
        <x:f>COUNTIF(VARIAN_STOK!$D$2:$D$333,$A86)</x:f>
        <x:v>1</x:v>
      </x:c>
      <x:c r="M86" s="69" t="str"/>
      <x:c r="N86" s="69" t="str"/>
      <x:c r="O86" s="69" t="str"/>
      <x:c r="P86" s="69" t="str"/>
      <x:c r="Q86" s="69" t="str"/>
      <x:c r="R86" s="69" t="str"/>
      <x:c r="S86" s="69" t="str"/>
      <x:c r="T86" s="69" t="str"/>
      <x:c r="U86" s="69" t="str">
        <x:v>Tidak</x:v>
      </x:c>
      <x:c r="V86" s="69" t="str">
        <x:v>Tidak</x:v>
      </x:c>
      <x:c r="W86" s="69" t="str">
        <x:v>Aktif</x:v>
      </x:c>
      <x:c r="X86" s="70" t="str"/>
    </x:row>
    <x:row r="87">
      <x:c r="A87" s="96" t="str">
        <x:v>PRD0086</x:v>
      </x:c>
      <x:c r="B87" s="69" t="str">
        <x:v>bamboo-studio-moana-pants</x:v>
      </x:c>
      <x:c r="C87" s="102" t="n">
        <x:v>9</x:v>
      </x:c>
      <x:c r="D87" s="108" t="str">
        <x:v>BAMBOO STUDIO</x:v>
      </x:c>
      <x:c r="E87" s="69" t="str">
        <x:v>Moana Pants</x:v>
      </x:c>
      <x:c r="F87" s="69" t="str">
        <x:v>Pants</x:v>
      </x:c>
      <x:c r="G87" s="69" t="str">
        <x:v>Dewasa</x:v>
      </x:c>
      <x:c r="H87" s="69" t="str">
        <x:v>Baru</x:v>
      </x:c>
      <x:c r="I87" s="84" t="n">
        <x:f>MINIFS(VARIAN_STOK!$H$2:$H$333,VARIAN_STOK!$D$2:$D$333,$A87)</x:f>
        <x:v>260000</x:v>
      </x:c>
      <x:c r="J87" s="84" t="n">
        <x:f>MAXIFS(VARIAN_STOK!$H$2:$H$333,VARIAN_STOK!$D$2:$D$333,$A87)</x:f>
        <x:v>260000</x:v>
      </x:c>
      <x:c r="K87" s="90" t="n">
        <x:f>SUMIF(VARIAN_STOK!$D$2:$D$333,$A87,VARIAN_STOK!$I$2:$I$333)</x:f>
        <x:v>3</x:v>
      </x:c>
      <x:c r="L87" s="90" t="n">
        <x:f>COUNTIF(VARIAN_STOK!$D$2:$D$333,$A87)</x:f>
        <x:v>3</x:v>
      </x:c>
      <x:c r="M87" s="69" t="str">
        <x:v>Army, Coffee, Navy</x:v>
      </x:c>
      <x:c r="N87" s="69" t="str"/>
      <x:c r="O87" s="69" t="str"/>
      <x:c r="P87" s="69" t="str"/>
      <x:c r="Q87" s="69" t="str"/>
      <x:c r="R87" s="69" t="str"/>
      <x:c r="S87" s="69" t="str"/>
      <x:c r="T87" s="69" t="str"/>
      <x:c r="U87" s="69" t="str">
        <x:v>Tidak</x:v>
      </x:c>
      <x:c r="V87" s="69" t="str">
        <x:v>Tidak</x:v>
      </x:c>
      <x:c r="W87" s="69" t="str">
        <x:v>Aktif</x:v>
      </x:c>
      <x:c r="X87" s="70" t="str"/>
    </x:row>
    <x:row r="88">
      <x:c r="A88" s="96" t="str">
        <x:v>PRD0087</x:v>
      </x:c>
      <x:c r="B88" s="69" t="str">
        <x:v>bamboo-studio-aileen-top</x:v>
      </x:c>
      <x:c r="C88" s="102" t="n">
        <x:v>9</x:v>
      </x:c>
      <x:c r="D88" s="108" t="str">
        <x:v>BAMBOO STUDIO</x:v>
      </x:c>
      <x:c r="E88" s="69" t="str">
        <x:v>Aileen Top</x:v>
      </x:c>
      <x:c r="F88" s="69" t="str">
        <x:v>Shirt</x:v>
      </x:c>
      <x:c r="G88" s="69" t="str">
        <x:v>Dewasa</x:v>
      </x:c>
      <x:c r="H88" s="69" t="str">
        <x:v>Baru</x:v>
      </x:c>
      <x:c r="I88" s="84" t="n">
        <x:f>MINIFS(VARIAN_STOK!$H$2:$H$333,VARIAN_STOK!$D$2:$D$333,$A88)</x:f>
        <x:v>365000</x:v>
      </x:c>
      <x:c r="J88" s="84" t="n">
        <x:f>MAXIFS(VARIAN_STOK!$H$2:$H$333,VARIAN_STOK!$D$2:$D$333,$A88)</x:f>
        <x:v>365000</x:v>
      </x:c>
      <x:c r="K88" s="90" t="n">
        <x:f>SUMIF(VARIAN_STOK!$D$2:$D$333,$A88,VARIAN_STOK!$I$2:$I$333)</x:f>
        <x:v>3</x:v>
      </x:c>
      <x:c r="L88" s="90" t="n">
        <x:f>COUNTIF(VARIAN_STOK!$D$2:$D$333,$A88)</x:f>
        <x:v>2</x:v>
      </x:c>
      <x:c r="M88" s="69" t="str">
        <x:v>Blue, Pink</x:v>
      </x:c>
      <x:c r="N88" s="69" t="str"/>
      <x:c r="O88" s="69" t="str"/>
      <x:c r="P88" s="69" t="str"/>
      <x:c r="Q88" s="69" t="str"/>
      <x:c r="R88" s="69" t="str"/>
      <x:c r="S88" s="69" t="str"/>
      <x:c r="T88" s="69" t="str"/>
      <x:c r="U88" s="69" t="str">
        <x:v>Tidak</x:v>
      </x:c>
      <x:c r="V88" s="69" t="str">
        <x:v>Tidak</x:v>
      </x:c>
      <x:c r="W88" s="69" t="str">
        <x:v>Aktif</x:v>
      </x:c>
      <x:c r="X88" s="70" t="str"/>
    </x:row>
    <x:row r="89">
      <x:c r="A89" s="96" t="str">
        <x:v>PRD0088</x:v>
      </x:c>
      <x:c r="B89" s="69" t="str">
        <x:v>jingga-scarves-queen-bag</x:v>
      </x:c>
      <x:c r="C89" s="102" t="n">
        <x:v>10</x:v>
      </x:c>
      <x:c r="D89" s="108" t="str">
        <x:v>JINGGA SCARVES</x:v>
      </x:c>
      <x:c r="E89" s="69" t="str">
        <x:v>Queen Bag</x:v>
      </x:c>
      <x:c r="F89" s="69" t="str">
        <x:v>Bag</x:v>
      </x:c>
      <x:c r="G89" s="69" t="str">
        <x:v>Dewasa</x:v>
      </x:c>
      <x:c r="H89" s="69" t="str">
        <x:v>Baru</x:v>
      </x:c>
      <x:c r="I89" s="84" t="n">
        <x:f>MINIFS(VARIAN_STOK!$H$2:$H$333,VARIAN_STOK!$D$2:$D$333,$A89)</x:f>
        <x:v>395000</x:v>
      </x:c>
      <x:c r="J89" s="84" t="n">
        <x:f>MAXIFS(VARIAN_STOK!$H$2:$H$333,VARIAN_STOK!$D$2:$D$333,$A89)</x:f>
        <x:v>395000</x:v>
      </x:c>
      <x:c r="K89" s="90" t="n">
        <x:f>SUMIF(VARIAN_STOK!$D$2:$D$333,$A89,VARIAN_STOK!$I$2:$I$333)</x:f>
        <x:v>1</x:v>
      </x:c>
      <x:c r="L89" s="90" t="n">
        <x:f>COUNTIF(VARIAN_STOK!$D$2:$D$333,$A89)</x:f>
        <x:v>1</x:v>
      </x:c>
      <x:c r="M89" s="69" t="str">
        <x:v>Black</x:v>
      </x:c>
      <x:c r="N89" s="69" t="str"/>
      <x:c r="O89" s="69" t="str"/>
      <x:c r="P89" s="69" t="str"/>
      <x:c r="Q89" s="69" t="str"/>
      <x:c r="R89" s="69" t="str"/>
      <x:c r="S89" s="69" t="str"/>
      <x:c r="T89" s="69" t="str"/>
      <x:c r="U89" s="69" t="str">
        <x:v>Tidak</x:v>
      </x:c>
      <x:c r="V89" s="69" t="str">
        <x:v>Tidak</x:v>
      </x:c>
      <x:c r="W89" s="69" t="str">
        <x:v>Aktif</x:v>
      </x:c>
      <x:c r="X89" s="70" t="str"/>
    </x:row>
    <x:row r="90">
      <x:c r="A90" s="96" t="str">
        <x:v>PRD0089</x:v>
      </x:c>
      <x:c r="B90" s="69" t="str">
        <x:v>jingga-scarves-raya-dress</x:v>
      </x:c>
      <x:c r="C90" s="102" t="n">
        <x:v>10</x:v>
      </x:c>
      <x:c r="D90" s="108" t="str">
        <x:v>JINGGA SCARVES</x:v>
      </x:c>
      <x:c r="E90" s="69" t="str">
        <x:v>Raya Dress</x:v>
      </x:c>
      <x:c r="F90" s="69" t="str">
        <x:v>Dress</x:v>
      </x:c>
      <x:c r="G90" s="69" t="str">
        <x:v>Dewasa</x:v>
      </x:c>
      <x:c r="H90" s="69" t="str">
        <x:v>Baru</x:v>
      </x:c>
      <x:c r="I90" s="84" t="n">
        <x:f>MINIFS(VARIAN_STOK!$H$2:$H$333,VARIAN_STOK!$D$2:$D$333,$A90)</x:f>
        <x:v>595000</x:v>
      </x:c>
      <x:c r="J90" s="84" t="n">
        <x:f>MAXIFS(VARIAN_STOK!$H$2:$H$333,VARIAN_STOK!$D$2:$D$333,$A90)</x:f>
        <x:v>595000</x:v>
      </x:c>
      <x:c r="K90" s="90" t="n">
        <x:f>SUMIF(VARIAN_STOK!$D$2:$D$333,$A90,VARIAN_STOK!$I$2:$I$333)</x:f>
        <x:v>4</x:v>
      </x:c>
      <x:c r="L90" s="90" t="n">
        <x:f>COUNTIF(VARIAN_STOK!$D$2:$D$333,$A90)</x:f>
        <x:v>2</x:v>
      </x:c>
      <x:c r="M90" s="69" t="str">
        <x:v>Nude</x:v>
      </x:c>
      <x:c r="N90" s="69" t="str">
        <x:v>L, XL</x:v>
      </x:c>
      <x:c r="O90" s="69" t="str"/>
      <x:c r="P90" s="69" t="str"/>
      <x:c r="Q90" s="69" t="str"/>
      <x:c r="R90" s="69" t="str"/>
      <x:c r="S90" s="69" t="str"/>
      <x:c r="T90" s="69" t="str"/>
      <x:c r="U90" s="69" t="str">
        <x:v>Tidak</x:v>
      </x:c>
      <x:c r="V90" s="69" t="str">
        <x:v>Tidak</x:v>
      </x:c>
      <x:c r="W90" s="69" t="str">
        <x:v>Aktif</x:v>
      </x:c>
      <x:c r="X90" s="70" t="str"/>
    </x:row>
    <x:row r="91">
      <x:c r="A91" s="96" t="str">
        <x:v>PRD0090</x:v>
      </x:c>
      <x:c r="B91" s="69" t="str">
        <x:v>jingga-scarves-raya-sarimbit-dress</x:v>
      </x:c>
      <x:c r="C91" s="102" t="n">
        <x:v>10</x:v>
      </x:c>
      <x:c r="D91" s="108" t="str">
        <x:v>JINGGA SCARVES</x:v>
      </x:c>
      <x:c r="E91" s="69" t="str">
        <x:v>Raya Sarimbit Dress</x:v>
      </x:c>
      <x:c r="F91" s="69" t="str">
        <x:v>Dress</x:v>
      </x:c>
      <x:c r="G91" s="69" t="str">
        <x:v>Anak</x:v>
      </x:c>
      <x:c r="H91" s="69" t="str">
        <x:v>Baru</x:v>
      </x:c>
      <x:c r="I91" s="84" t="n">
        <x:f>MINIFS(VARIAN_STOK!$H$2:$H$333,VARIAN_STOK!$D$2:$D$333,$A91)</x:f>
        <x:v>555000</x:v>
      </x:c>
      <x:c r="J91" s="84" t="n">
        <x:f>MAXIFS(VARIAN_STOK!$H$2:$H$333,VARIAN_STOK!$D$2:$D$333,$A91)</x:f>
        <x:v>555000</x:v>
      </x:c>
      <x:c r="K91" s="90" t="n">
        <x:f>SUMIF(VARIAN_STOK!$D$2:$D$333,$A91,VARIAN_STOK!$I$2:$I$333)</x:f>
        <x:v>1</x:v>
      </x:c>
      <x:c r="L91" s="90" t="n">
        <x:f>COUNTIF(VARIAN_STOK!$D$2:$D$333,$A91)</x:f>
        <x:v>1</x:v>
      </x:c>
      <x:c r="M91" s="69" t="str">
        <x:v>Anak Mocca</x:v>
      </x:c>
      <x:c r="N91" s="69" t="str">
        <x:v>S</x:v>
      </x:c>
      <x:c r="O91" s="69" t="str"/>
      <x:c r="P91" s="69" t="str"/>
      <x:c r="Q91" s="69" t="str"/>
      <x:c r="R91" s="69" t="str"/>
      <x:c r="S91" s="69" t="str"/>
      <x:c r="T91" s="69" t="str"/>
      <x:c r="U91" s="69" t="str">
        <x:v>Tidak</x:v>
      </x:c>
      <x:c r="V91" s="69" t="str">
        <x:v>Tidak</x:v>
      </x:c>
      <x:c r="W91" s="69" t="str">
        <x:v>Aktif</x:v>
      </x:c>
      <x:c r="X91" s="70" t="str"/>
    </x:row>
    <x:row r="92">
      <x:c r="A92" s="96" t="str">
        <x:v>PRD0091</x:v>
      </x:c>
      <x:c r="B92" s="69" t="str">
        <x:v>jingga-scarves-mona-series</x:v>
      </x:c>
      <x:c r="C92" s="102" t="n">
        <x:v>10</x:v>
      </x:c>
      <x:c r="D92" s="108" t="str">
        <x:v>JINGGA SCARVES</x:v>
      </x:c>
      <x:c r="E92" s="69" t="str">
        <x:v>Mona Series</x:v>
      </x:c>
      <x:c r="F92" s="69" t="str">
        <x:v>Hijab</x:v>
      </x:c>
      <x:c r="G92" s="69" t="str">
        <x:v>Dewasa</x:v>
      </x:c>
      <x:c r="H92" s="69" t="str">
        <x:v>Baru</x:v>
      </x:c>
      <x:c r="I92" s="84" t="n">
        <x:f>MINIFS(VARIAN_STOK!$H$2:$H$333,VARIAN_STOK!$D$2:$D$333,$A92)</x:f>
        <x:v>295000</x:v>
      </x:c>
      <x:c r="J92" s="84" t="n">
        <x:f>MAXIFS(VARIAN_STOK!$H$2:$H$333,VARIAN_STOK!$D$2:$D$333,$A92)</x:f>
        <x:v>295000</x:v>
      </x:c>
      <x:c r="K92" s="90" t="n">
        <x:f>SUMIF(VARIAN_STOK!$D$2:$D$333,$A92,VARIAN_STOK!$I$2:$I$333)</x:f>
        <x:v>2</x:v>
      </x:c>
      <x:c r="L92" s="90" t="n">
        <x:f>COUNTIF(VARIAN_STOK!$D$2:$D$333,$A92)</x:f>
        <x:v>1</x:v>
      </x:c>
      <x:c r="M92" s="69" t="str">
        <x:v>Petal</x:v>
      </x:c>
      <x:c r="N92" s="69" t="str"/>
      <x:c r="O92" s="69" t="str"/>
      <x:c r="P92" s="69" t="str"/>
      <x:c r="Q92" s="69" t="str"/>
      <x:c r="R92" s="69" t="str"/>
      <x:c r="S92" s="69" t="str"/>
      <x:c r="T92" s="69" t="str"/>
      <x:c r="U92" s="69" t="str">
        <x:v>Tidak</x:v>
      </x:c>
      <x:c r="V92" s="69" t="str">
        <x:v>Tidak</x:v>
      </x:c>
      <x:c r="W92" s="69" t="str">
        <x:v>Aktif</x:v>
      </x:c>
      <x:c r="X92" s="70" t="str"/>
    </x:row>
    <x:row r="93">
      <x:c r="A93" s="96" t="str">
        <x:v>PRD0092</x:v>
      </x:c>
      <x:c r="B93" s="69" t="str">
        <x:v>jingga-scarves-paris-original-japan</x:v>
      </x:c>
      <x:c r="C93" s="102" t="n">
        <x:v>10</x:v>
      </x:c>
      <x:c r="D93" s="108" t="str">
        <x:v>JINGGA SCARVES</x:v>
      </x:c>
      <x:c r="E93" s="69" t="str">
        <x:v>Paris Original Japan</x:v>
      </x:c>
      <x:c r="F93" s="69" t="str">
        <x:v>Hijab</x:v>
      </x:c>
      <x:c r="G93" s="69" t="str">
        <x:v>Dewasa</x:v>
      </x:c>
      <x:c r="H93" s="69" t="str">
        <x:v>Baru</x:v>
      </x:c>
      <x:c r="I93" s="84" t="n">
        <x:f>MINIFS(VARIAN_STOK!$H$2:$H$333,VARIAN_STOK!$D$2:$D$333,$A93)</x:f>
        <x:v>185000</x:v>
      </x:c>
      <x:c r="J93" s="84" t="n">
        <x:f>MAXIFS(VARIAN_STOK!$H$2:$H$333,VARIAN_STOK!$D$2:$D$333,$A93)</x:f>
        <x:v>185000</x:v>
      </x:c>
      <x:c r="K93" s="90" t="n">
        <x:f>SUMIF(VARIAN_STOK!$D$2:$D$333,$A93,VARIAN_STOK!$I$2:$I$333)</x:f>
        <x:v>2</x:v>
      </x:c>
      <x:c r="L93" s="90" t="n">
        <x:f>COUNTIF(VARIAN_STOK!$D$2:$D$333,$A93)</x:f>
        <x:v>1</x:v>
      </x:c>
      <x:c r="M93" s="69" t="str">
        <x:v>Dark Purple</x:v>
      </x:c>
      <x:c r="N93" s="69" t="str"/>
      <x:c r="O93" s="69" t="str"/>
      <x:c r="P93" s="69" t="str"/>
      <x:c r="Q93" s="69" t="str"/>
      <x:c r="R93" s="69" t="str"/>
      <x:c r="S93" s="69" t="str"/>
      <x:c r="T93" s="69" t="str"/>
      <x:c r="U93" s="69" t="str">
        <x:v>Tidak</x:v>
      </x:c>
      <x:c r="V93" s="69" t="str">
        <x:v>Tidak</x:v>
      </x:c>
      <x:c r="W93" s="69" t="str">
        <x:v>Aktif</x:v>
      </x:c>
      <x:c r="X93" s="70" t="str"/>
    </x:row>
    <x:row r="94">
      <x:c r="A94" s="96" t="str">
        <x:v>PRD0093</x:v>
      </x:c>
      <x:c r="B94" s="69" t="str">
        <x:v>jingga-scarves-rangea-series</x:v>
      </x:c>
      <x:c r="C94" s="102" t="n">
        <x:v>10</x:v>
      </x:c>
      <x:c r="D94" s="108" t="str">
        <x:v>JINGGA SCARVES</x:v>
      </x:c>
      <x:c r="E94" s="69" t="str">
        <x:v>Rangea Series</x:v>
      </x:c>
      <x:c r="F94" s="69" t="str">
        <x:v>Hijab</x:v>
      </x:c>
      <x:c r="G94" s="69" t="str">
        <x:v>Dewasa</x:v>
      </x:c>
      <x:c r="H94" s="69" t="str">
        <x:v>Baru</x:v>
      </x:c>
      <x:c r="I94" s="84" t="n">
        <x:f>MINIFS(VARIAN_STOK!$H$2:$H$333,VARIAN_STOK!$D$2:$D$333,$A94)</x:f>
        <x:v>295000</x:v>
      </x:c>
      <x:c r="J94" s="84" t="n">
        <x:f>MAXIFS(VARIAN_STOK!$H$2:$H$333,VARIAN_STOK!$D$2:$D$333,$A94)</x:f>
        <x:v>295000</x:v>
      </x:c>
      <x:c r="K94" s="90" t="n">
        <x:f>SUMIF(VARIAN_STOK!$D$2:$D$333,$A94,VARIAN_STOK!$I$2:$I$333)</x:f>
        <x:v>1</x:v>
      </x:c>
      <x:c r="L94" s="90" t="n">
        <x:f>COUNTIF(VARIAN_STOK!$D$2:$D$333,$A94)</x:f>
        <x:v>1</x:v>
      </x:c>
      <x:c r="M94" s="69" t="str">
        <x:v>Taupe</x:v>
      </x:c>
      <x:c r="N94" s="69" t="str"/>
      <x:c r="O94" s="69" t="str"/>
      <x:c r="P94" s="69" t="str"/>
      <x:c r="Q94" s="69" t="str"/>
      <x:c r="R94" s="69" t="str"/>
      <x:c r="S94" s="69" t="str"/>
      <x:c r="T94" s="69" t="str"/>
      <x:c r="U94" s="69" t="str">
        <x:v>Tidak</x:v>
      </x:c>
      <x:c r="V94" s="69" t="str">
        <x:v>Tidak</x:v>
      </x:c>
      <x:c r="W94" s="69" t="str">
        <x:v>Aktif</x:v>
      </x:c>
      <x:c r="X94" s="70" t="str"/>
    </x:row>
    <x:row r="95">
      <x:c r="A95" s="96" t="str">
        <x:v>PRD0094</x:v>
      </x:c>
      <x:c r="B95" s="69" t="str">
        <x:v>jingga-scarves-ina-top</x:v>
      </x:c>
      <x:c r="C95" s="102" t="n">
        <x:v>10</x:v>
      </x:c>
      <x:c r="D95" s="108" t="str">
        <x:v>JINGGA SCARVES</x:v>
      </x:c>
      <x:c r="E95" s="69" t="str">
        <x:v>Ina Top</x:v>
      </x:c>
      <x:c r="F95" s="69" t="str">
        <x:v>Shirt</x:v>
      </x:c>
      <x:c r="G95" s="69" t="str">
        <x:v>Dewasa</x:v>
      </x:c>
      <x:c r="H95" s="69" t="str">
        <x:v>Baru</x:v>
      </x:c>
      <x:c r="I95" s="84" t="n">
        <x:f>MINIFS(VARIAN_STOK!$H$2:$H$333,VARIAN_STOK!$D$2:$D$333,$A95)</x:f>
        <x:v>365000</x:v>
      </x:c>
      <x:c r="J95" s="84" t="n">
        <x:f>MAXIFS(VARIAN_STOK!$H$2:$H$333,VARIAN_STOK!$D$2:$D$333,$A95)</x:f>
        <x:v>365000</x:v>
      </x:c>
      <x:c r="K95" s="90" t="n">
        <x:f>SUMIF(VARIAN_STOK!$D$2:$D$333,$A95,VARIAN_STOK!$I$2:$I$333)</x:f>
        <x:v>2</x:v>
      </x:c>
      <x:c r="L95" s="90" t="n">
        <x:f>COUNTIF(VARIAN_STOK!$D$2:$D$333,$A95)</x:f>
        <x:v>1</x:v>
      </x:c>
      <x:c r="M95" s="69" t="str">
        <x:v>White</x:v>
      </x:c>
      <x:c r="N95" s="69" t="str">
        <x:v>XL</x:v>
      </x:c>
      <x:c r="O95" s="69" t="str"/>
      <x:c r="P95" s="69" t="str"/>
      <x:c r="Q95" s="69" t="str"/>
      <x:c r="R95" s="69" t="str"/>
      <x:c r="S95" s="69" t="str"/>
      <x:c r="T95" s="69" t="str"/>
      <x:c r="U95" s="69" t="str">
        <x:v>Tidak</x:v>
      </x:c>
      <x:c r="V95" s="69" t="str">
        <x:v>Tidak</x:v>
      </x:c>
      <x:c r="W95" s="69" t="str">
        <x:v>Aktif</x:v>
      </x:c>
      <x:c r="X95" s="70" t="str"/>
    </x:row>
    <x:row r="96">
      <x:c r="A96" s="96" t="str">
        <x:v>PRD0095</x:v>
      </x:c>
      <x:c r="B96" s="69" t="str">
        <x:v>jingga-scarves-koko-maya-set</x:v>
      </x:c>
      <x:c r="C96" s="102" t="n">
        <x:v>10</x:v>
      </x:c>
      <x:c r="D96" s="108" t="str">
        <x:v>JINGGA SCARVES</x:v>
      </x:c>
      <x:c r="E96" s="69" t="str">
        <x:v>Koko Maya Set</x:v>
      </x:c>
      <x:c r="F96" s="69" t="str">
        <x:v>Shirt</x:v>
      </x:c>
      <x:c r="G96" s="69" t="str">
        <x:v>Dewasa</x:v>
      </x:c>
      <x:c r="H96" s="69" t="str">
        <x:v>Baru</x:v>
      </x:c>
      <x:c r="I96" s="84" t="n">
        <x:f>MINIFS(VARIAN_STOK!$H$2:$H$333,VARIAN_STOK!$D$2:$D$333,$A96)</x:f>
        <x:v>395000</x:v>
      </x:c>
      <x:c r="J96" s="84" t="n">
        <x:f>MAXIFS(VARIAN_STOK!$H$2:$H$333,VARIAN_STOK!$D$2:$D$333,$A96)</x:f>
        <x:v>395000</x:v>
      </x:c>
      <x:c r="K96" s="90" t="n">
        <x:f>SUMIF(VARIAN_STOK!$D$2:$D$333,$A96,VARIAN_STOK!$I$2:$I$333)</x:f>
        <x:v>6</x:v>
      </x:c>
      <x:c r="L96" s="90" t="n">
        <x:f>COUNTIF(VARIAN_STOK!$D$2:$D$333,$A96)</x:f>
        <x:v>4</x:v>
      </x:c>
      <x:c r="M96" s="69" t="str">
        <x:v>Blue, Sage</x:v>
      </x:c>
      <x:c r="N96" s="69" t="str">
        <x:v>M, S</x:v>
      </x:c>
      <x:c r="O96" s="69" t="str"/>
      <x:c r="P96" s="69" t="str"/>
      <x:c r="Q96" s="69" t="str"/>
      <x:c r="R96" s="69" t="str"/>
      <x:c r="S96" s="69" t="str"/>
      <x:c r="T96" s="69" t="str"/>
      <x:c r="U96" s="69" t="str">
        <x:v>Tidak</x:v>
      </x:c>
      <x:c r="V96" s="69" t="str">
        <x:v>Tidak</x:v>
      </x:c>
      <x:c r="W96" s="69" t="str">
        <x:v>Aktif</x:v>
      </x:c>
      <x:c r="X96" s="70" t="str"/>
    </x:row>
    <x:row r="97">
      <x:c r="A97" s="96" t="str">
        <x:v>PRD0096</x:v>
      </x:c>
      <x:c r="B97" s="69" t="str">
        <x:v>jingga-scarves-milda-top</x:v>
      </x:c>
      <x:c r="C97" s="102" t="n">
        <x:v>10</x:v>
      </x:c>
      <x:c r="D97" s="108" t="str">
        <x:v>JINGGA SCARVES</x:v>
      </x:c>
      <x:c r="E97" s="69" t="str">
        <x:v>Milda Top</x:v>
      </x:c>
      <x:c r="F97" s="69" t="str">
        <x:v>Shirt</x:v>
      </x:c>
      <x:c r="G97" s="69" t="str">
        <x:v>Dewasa</x:v>
      </x:c>
      <x:c r="H97" s="69" t="str">
        <x:v>Baru</x:v>
      </x:c>
      <x:c r="I97" s="84" t="n">
        <x:f>MINIFS(VARIAN_STOK!$H$2:$H$333,VARIAN_STOK!$D$2:$D$333,$A97)</x:f>
        <x:v>355000</x:v>
      </x:c>
      <x:c r="J97" s="84" t="n">
        <x:f>MAXIFS(VARIAN_STOK!$H$2:$H$333,VARIAN_STOK!$D$2:$D$333,$A97)</x:f>
        <x:v>355000</x:v>
      </x:c>
      <x:c r="K97" s="90" t="n">
        <x:f>SUMIF(VARIAN_STOK!$D$2:$D$333,$A97,VARIAN_STOK!$I$2:$I$333)</x:f>
        <x:v>10</x:v>
      </x:c>
      <x:c r="L97" s="90" t="n">
        <x:f>COUNTIF(VARIAN_STOK!$D$2:$D$333,$A97)</x:f>
        <x:v>8</x:v>
      </x:c>
      <x:c r="M97" s="69" t="str">
        <x:v>Lily, Mauve, Shappire, Sky Blue</x:v>
      </x:c>
      <x:c r="N97" s="69" t="str">
        <x:v>L, M, S</x:v>
      </x:c>
      <x:c r="O97" s="69" t="str"/>
      <x:c r="P97" s="69" t="str"/>
      <x:c r="Q97" s="69" t="str"/>
      <x:c r="R97" s="69" t="str"/>
      <x:c r="S97" s="69" t="str"/>
      <x:c r="T97" s="69" t="str"/>
      <x:c r="U97" s="69" t="str">
        <x:v>Tidak</x:v>
      </x:c>
      <x:c r="V97" s="69" t="str">
        <x:v>Tidak</x:v>
      </x:c>
      <x:c r="W97" s="69" t="str">
        <x:v>Aktif</x:v>
      </x:c>
      <x:c r="X97" s="70" t="str"/>
    </x:row>
    <x:row r="98">
      <x:c r="A98" s="96" t="str">
        <x:v>PRD0097</x:v>
      </x:c>
      <x:c r="B98" s="69" t="str">
        <x:v>jingga-scarves-raya-sarimbit-koko-anak</x:v>
      </x:c>
      <x:c r="C98" s="102" t="n">
        <x:v>10</x:v>
      </x:c>
      <x:c r="D98" s="108" t="str">
        <x:v>JINGGA SCARVES</x:v>
      </x:c>
      <x:c r="E98" s="69" t="str">
        <x:v>Raya Sarimbit Koko Anak</x:v>
      </x:c>
      <x:c r="F98" s="69" t="str">
        <x:v>Shirt</x:v>
      </x:c>
      <x:c r="G98" s="69" t="str">
        <x:v>Anak</x:v>
      </x:c>
      <x:c r="H98" s="69" t="str">
        <x:v>Baru</x:v>
      </x:c>
      <x:c r="I98" s="84" t="n">
        <x:f>MINIFS(VARIAN_STOK!$H$2:$H$333,VARIAN_STOK!$D$2:$D$333,$A98)</x:f>
        <x:v>345000</x:v>
      </x:c>
      <x:c r="J98" s="84" t="n">
        <x:f>MAXIFS(VARIAN_STOK!$H$2:$H$333,VARIAN_STOK!$D$2:$D$333,$A98)</x:f>
        <x:v>345000</x:v>
      </x:c>
      <x:c r="K98" s="90" t="n">
        <x:f>SUMIF(VARIAN_STOK!$D$2:$D$333,$A98,VARIAN_STOK!$I$2:$I$333)</x:f>
        <x:v>5</x:v>
      </x:c>
      <x:c r="L98" s="90" t="n">
        <x:f>COUNTIF(VARIAN_STOK!$D$2:$D$333,$A98)</x:f>
        <x:v>5</x:v>
      </x:c>
      <x:c r="M98" s="69" t="str">
        <x:v>Ivory, Mocca</x:v>
      </x:c>
      <x:c r="N98" s="69" t="str">
        <x:v>L, M, XL</x:v>
      </x:c>
      <x:c r="O98" s="69" t="str"/>
      <x:c r="P98" s="69" t="str"/>
      <x:c r="Q98" s="69" t="str"/>
      <x:c r="R98" s="69" t="str"/>
      <x:c r="S98" s="69" t="str"/>
      <x:c r="T98" s="69" t="str"/>
      <x:c r="U98" s="69" t="str">
        <x:v>Tidak</x:v>
      </x:c>
      <x:c r="V98" s="69" t="str">
        <x:v>Tidak</x:v>
      </x:c>
      <x:c r="W98" s="69" t="str">
        <x:v>Aktif</x:v>
      </x:c>
      <x:c r="X98" s="70" t="str"/>
    </x:row>
    <x:row r="99">
      <x:c r="A99" s="96" t="str">
        <x:v>PRD0098</x:v>
      </x:c>
      <x:c r="B99" s="69" t="str">
        <x:v>nabnib-candy-klip</x:v>
      </x:c>
      <x:c r="C99" s="102" t="n">
        <x:v>11</x:v>
      </x:c>
      <x:c r="D99" s="108" t="str">
        <x:v>NABNIB</x:v>
      </x:c>
      <x:c r="E99" s="69" t="str">
        <x:v>Candy Klip</x:v>
      </x:c>
      <x:c r="F99" s="69" t="str">
        <x:v>Aksesoris</x:v>
      </x:c>
      <x:c r="G99" s="69" t="str">
        <x:v>Dewasa</x:v>
      </x:c>
      <x:c r="H99" s="69" t="str">
        <x:v>Baru</x:v>
      </x:c>
      <x:c r="I99" s="84" t="n">
        <x:f>MINIFS(VARIAN_STOK!$H$2:$H$333,VARIAN_STOK!$D$2:$D$333,$A99)</x:f>
        <x:v>30000</x:v>
      </x:c>
      <x:c r="J99" s="84" t="n">
        <x:f>MAXIFS(VARIAN_STOK!$H$2:$H$333,VARIAN_STOK!$D$2:$D$333,$A99)</x:f>
        <x:v>30000</x:v>
      </x:c>
      <x:c r="K99" s="90" t="n">
        <x:f>SUMIF(VARIAN_STOK!$D$2:$D$333,$A99,VARIAN_STOK!$I$2:$I$333)</x:f>
        <x:v>11</x:v>
      </x:c>
      <x:c r="L99" s="90" t="n">
        <x:f>COUNTIF(VARIAN_STOK!$D$2:$D$333,$A99)</x:f>
        <x:v>1</x:v>
      </x:c>
      <x:c r="M99" s="69" t="str"/>
      <x:c r="N99" s="69" t="str"/>
      <x:c r="O99" s="69" t="str"/>
      <x:c r="P99" s="69" t="str"/>
      <x:c r="Q99" s="69" t="str"/>
      <x:c r="R99" s="69" t="str"/>
      <x:c r="S99" s="69" t="str"/>
      <x:c r="T99" s="69" t="str"/>
      <x:c r="U99" s="69" t="str">
        <x:v>Tidak</x:v>
      </x:c>
      <x:c r="V99" s="69" t="str">
        <x:v>Tidak</x:v>
      </x:c>
      <x:c r="W99" s="69" t="str">
        <x:v>Aktif</x:v>
      </x:c>
      <x:c r="X99" s="70" t="str"/>
    </x:row>
    <x:row r="100">
      <x:c r="A100" s="96" t="str">
        <x:v>PRD0099</x:v>
      </x:c>
      <x:c r="B100" s="69" t="str">
        <x:v>nabnib-kaos-kaki-europ</x:v>
      </x:c>
      <x:c r="C100" s="102" t="n">
        <x:v>11</x:v>
      </x:c>
      <x:c r="D100" s="108" t="str">
        <x:v>NABNIB</x:v>
      </x:c>
      <x:c r="E100" s="69" t="str">
        <x:v>Kaos Kaki Europ</x:v>
      </x:c>
      <x:c r="F100" s="69" t="str">
        <x:v>Aksesoris</x:v>
      </x:c>
      <x:c r="G100" s="69" t="str">
        <x:v>Dewasa</x:v>
      </x:c>
      <x:c r="H100" s="69" t="str">
        <x:v>Baru</x:v>
      </x:c>
      <x:c r="I100" s="84" t="n">
        <x:f>MINIFS(VARIAN_STOK!$H$2:$H$333,VARIAN_STOK!$D$2:$D$333,$A100)</x:f>
        <x:v>52000</x:v>
      </x:c>
      <x:c r="J100" s="84" t="n">
        <x:f>MAXIFS(VARIAN_STOK!$H$2:$H$333,VARIAN_STOK!$D$2:$D$333,$A100)</x:f>
        <x:v>52000</x:v>
      </x:c>
      <x:c r="K100" s="90" t="n">
        <x:f>SUMIF(VARIAN_STOK!$D$2:$D$333,$A100,VARIAN_STOK!$I$2:$I$333)</x:f>
        <x:v>3</x:v>
      </x:c>
      <x:c r="L100" s="90" t="n">
        <x:f>COUNTIF(VARIAN_STOK!$D$2:$D$333,$A100)</x:f>
        <x:v>2</x:v>
      </x:c>
      <x:c r="M100" s="69" t="str">
        <x:v>Dark Grey, White</x:v>
      </x:c>
      <x:c r="N100" s="69" t="str"/>
      <x:c r="O100" s="69" t="str"/>
      <x:c r="P100" s="69" t="str"/>
      <x:c r="Q100" s="69" t="str"/>
      <x:c r="R100" s="69" t="str"/>
      <x:c r="S100" s="69" t="str"/>
      <x:c r="T100" s="69" t="str"/>
      <x:c r="U100" s="69" t="str">
        <x:v>Tidak</x:v>
      </x:c>
      <x:c r="V100" s="69" t="str">
        <x:v>Tidak</x:v>
      </x:c>
      <x:c r="W100" s="69" t="str">
        <x:v>Aktif</x:v>
      </x:c>
      <x:c r="X100" s="70" t="str"/>
    </x:row>
    <x:row r="101">
      <x:c r="A101" s="96" t="str">
        <x:v>PRD0100</x:v>
      </x:c>
      <x:c r="B101" s="69" t="str">
        <x:v>nabnib-marocan-ciput</x:v>
      </x:c>
      <x:c r="C101" s="102" t="n">
        <x:v>11</x:v>
      </x:c>
      <x:c r="D101" s="108" t="str">
        <x:v>NABNIB</x:v>
      </x:c>
      <x:c r="E101" s="69" t="str">
        <x:v>Marocan Ciput</x:v>
      </x:c>
      <x:c r="F101" s="69" t="str">
        <x:v>Aksesoris</x:v>
      </x:c>
      <x:c r="G101" s="69" t="str">
        <x:v>Dewasa</x:v>
      </x:c>
      <x:c r="H101" s="69" t="str">
        <x:v>Baru</x:v>
      </x:c>
      <x:c r="I101" s="84" t="n">
        <x:f>MINIFS(VARIAN_STOK!$H$2:$H$333,VARIAN_STOK!$D$2:$D$333,$A101)</x:f>
        <x:v>49900</x:v>
      </x:c>
      <x:c r="J101" s="84" t="n">
        <x:f>MAXIFS(VARIAN_STOK!$H$2:$H$333,VARIAN_STOK!$D$2:$D$333,$A101)</x:f>
        <x:v>49900</x:v>
      </x:c>
      <x:c r="K101" s="90" t="n">
        <x:f>SUMIF(VARIAN_STOK!$D$2:$D$333,$A101,VARIAN_STOK!$I$2:$I$333)</x:f>
        <x:v>1</x:v>
      </x:c>
      <x:c r="L101" s="90" t="n">
        <x:f>COUNTIF(VARIAN_STOK!$D$2:$D$333,$A101)</x:f>
        <x:v>1</x:v>
      </x:c>
      <x:c r="M101" s="69" t="str">
        <x:v>Light Brown</x:v>
      </x:c>
      <x:c r="N101" s="69" t="str"/>
      <x:c r="O101" s="69" t="str"/>
      <x:c r="P101" s="69" t="str"/>
      <x:c r="Q101" s="69" t="str"/>
      <x:c r="R101" s="69" t="str"/>
      <x:c r="S101" s="69" t="str"/>
      <x:c r="T101" s="69" t="str"/>
      <x:c r="U101" s="69" t="str">
        <x:v>Tidak</x:v>
      </x:c>
      <x:c r="V101" s="69" t="str">
        <x:v>Tidak</x:v>
      </x:c>
      <x:c r="W101" s="69" t="str">
        <x:v>Aktif</x:v>
      </x:c>
      <x:c r="X101" s="70" t="str"/>
    </x:row>
    <x:row r="102">
      <x:c r="A102" s="96" t="str">
        <x:v>PRD0101</x:v>
      </x:c>
      <x:c r="B102" s="69" t="str">
        <x:v>nabnib-sila-ciput-ninja-premium</x:v>
      </x:c>
      <x:c r="C102" s="102" t="n">
        <x:v>11</x:v>
      </x:c>
      <x:c r="D102" s="108" t="str">
        <x:v>NABNIB</x:v>
      </x:c>
      <x:c r="E102" s="69" t="str">
        <x:v>Sila Ciput Ninja Premium</x:v>
      </x:c>
      <x:c r="F102" s="69" t="str">
        <x:v>Aksesoris</x:v>
      </x:c>
      <x:c r="G102" s="69" t="str">
        <x:v>Dewasa</x:v>
      </x:c>
      <x:c r="H102" s="69" t="str">
        <x:v>Baru</x:v>
      </x:c>
      <x:c r="I102" s="84" t="n">
        <x:f>MINIFS(VARIAN_STOK!$H$2:$H$333,VARIAN_STOK!$D$2:$D$333,$A102)</x:f>
        <x:v>45000</x:v>
      </x:c>
      <x:c r="J102" s="84" t="n">
        <x:f>MAXIFS(VARIAN_STOK!$H$2:$H$333,VARIAN_STOK!$D$2:$D$333,$A102)</x:f>
        <x:v>45000</x:v>
      </x:c>
      <x:c r="K102" s="90" t="n">
        <x:f>SUMIF(VARIAN_STOK!$D$2:$D$333,$A102,VARIAN_STOK!$I$2:$I$333)</x:f>
        <x:v>3</x:v>
      </x:c>
      <x:c r="L102" s="90" t="n">
        <x:f>COUNTIF(VARIAN_STOK!$D$2:$D$333,$A102)</x:f>
        <x:v>2</x:v>
      </x:c>
      <x:c r="M102" s="69" t="str">
        <x:v>Light Brown, Off White</x:v>
      </x:c>
      <x:c r="N102" s="69" t="str"/>
      <x:c r="O102" s="69" t="str"/>
      <x:c r="P102" s="69" t="str"/>
      <x:c r="Q102" s="69" t="str"/>
      <x:c r="R102" s="69" t="str"/>
      <x:c r="S102" s="69" t="str"/>
      <x:c r="T102" s="69" t="str"/>
      <x:c r="U102" s="69" t="str">
        <x:v>Tidak</x:v>
      </x:c>
      <x:c r="V102" s="69" t="str">
        <x:v>Tidak</x:v>
      </x:c>
      <x:c r="W102" s="69" t="str">
        <x:v>Aktif</x:v>
      </x:c>
      <x:c r="X102" s="70" t="str"/>
    </x:row>
    <x:row r="103">
      <x:c r="A103" s="96" t="str">
        <x:v>PRD0102</x:v>
      </x:c>
      <x:c r="B103" s="69" t="str">
        <x:v>nabnib-yola-voal-premium</x:v>
      </x:c>
      <x:c r="C103" s="102" t="n">
        <x:v>11</x:v>
      </x:c>
      <x:c r="D103" s="108" t="str">
        <x:v>NABNIB</x:v>
      </x:c>
      <x:c r="E103" s="69" t="str">
        <x:v>Yola Voal Premium</x:v>
      </x:c>
      <x:c r="F103" s="69" t="str">
        <x:v>Hijab</x:v>
      </x:c>
      <x:c r="G103" s="69" t="str">
        <x:v>Dewasa</x:v>
      </x:c>
      <x:c r="H103" s="69" t="str">
        <x:v>Baru</x:v>
      </x:c>
      <x:c r="I103" s="84" t="n">
        <x:f>MINIFS(VARIAN_STOK!$H$2:$H$333,VARIAN_STOK!$D$2:$D$333,$A103)</x:f>
        <x:v>115000</x:v>
      </x:c>
      <x:c r="J103" s="84" t="n">
        <x:f>MAXIFS(VARIAN_STOK!$H$2:$H$333,VARIAN_STOK!$D$2:$D$333,$A103)</x:f>
        <x:v>115000</x:v>
      </x:c>
      <x:c r="K103" s="90" t="n">
        <x:f>SUMIF(VARIAN_STOK!$D$2:$D$333,$A103,VARIAN_STOK!$I$2:$I$333)</x:f>
        <x:v>1</x:v>
      </x:c>
      <x:c r="L103" s="90" t="n">
        <x:f>COUNTIF(VARIAN_STOK!$D$2:$D$333,$A103)</x:f>
        <x:v>1</x:v>
      </x:c>
      <x:c r="M103" s="69" t="str">
        <x:v>Pink Camelia</x:v>
      </x:c>
      <x:c r="N103" s="69" t="str"/>
      <x:c r="O103" s="69" t="str"/>
      <x:c r="P103" s="69" t="str"/>
      <x:c r="Q103" s="69" t="str"/>
      <x:c r="R103" s="69" t="str"/>
      <x:c r="S103" s="69" t="str"/>
      <x:c r="T103" s="69" t="str"/>
      <x:c r="U103" s="69" t="str">
        <x:v>Tidak</x:v>
      </x:c>
      <x:c r="V103" s="69" t="str">
        <x:v>Tidak</x:v>
      </x:c>
      <x:c r="W103" s="69" t="str">
        <x:v>Aktif</x:v>
      </x:c>
      <x:c r="X103" s="70" t="str"/>
    </x:row>
    <x:row r="104">
      <x:c r="A104" s="96" t="str">
        <x:v>PRD0103</x:v>
      </x:c>
      <x:c r="B104" s="69" t="str">
        <x:v>no-brand-alika-black</x:v>
      </x:c>
      <x:c r="C104" s="102" t="n">
        <x:v>12</x:v>
      </x:c>
      <x:c r="D104" s="108" t="str">
        <x:v>NO BRAND</x:v>
      </x:c>
      <x:c r="E104" s="69" t="str">
        <x:v>Alika Black</x:v>
      </x:c>
      <x:c r="F104" s="69" t="str">
        <x:v>Aksesoris</x:v>
      </x:c>
      <x:c r="G104" s="69" t="str">
        <x:v>Dewasa</x:v>
      </x:c>
      <x:c r="H104" s="69" t="str">
        <x:v>Baru</x:v>
      </x:c>
      <x:c r="I104" s="84" t="n">
        <x:f>MINIFS(VARIAN_STOK!$H$2:$H$333,VARIAN_STOK!$D$2:$D$333,$A104)</x:f>
        <x:v>85000</x:v>
      </x:c>
      <x:c r="J104" s="84" t="n">
        <x:f>MAXIFS(VARIAN_STOK!$H$2:$H$333,VARIAN_STOK!$D$2:$D$333,$A104)</x:f>
        <x:v>85000</x:v>
      </x:c>
      <x:c r="K104" s="90" t="n">
        <x:f>SUMIF(VARIAN_STOK!$D$2:$D$333,$A104,VARIAN_STOK!$I$2:$I$333)</x:f>
        <x:v>2</x:v>
      </x:c>
      <x:c r="L104" s="90" t="n">
        <x:f>COUNTIF(VARIAN_STOK!$D$2:$D$333,$A104)</x:f>
        <x:v>1</x:v>
      </x:c>
      <x:c r="M104" s="69" t="str"/>
      <x:c r="N104" s="69" t="str"/>
      <x:c r="O104" s="69" t="str"/>
      <x:c r="P104" s="69" t="str"/>
      <x:c r="Q104" s="69" t="str"/>
      <x:c r="R104" s="69" t="str"/>
      <x:c r="S104" s="69" t="str"/>
      <x:c r="T104" s="69" t="str"/>
      <x:c r="U104" s="69" t="str">
        <x:v>Tidak</x:v>
      </x:c>
      <x:c r="V104" s="69" t="str">
        <x:v>Tidak</x:v>
      </x:c>
      <x:c r="W104" s="69" t="str">
        <x:v>Aktif</x:v>
      </x:c>
      <x:c r="X104" s="70" t="str"/>
    </x:row>
    <x:row r="105">
      <x:c r="A105" s="96" t="str">
        <x:v>PRD0104</x:v>
      </x:c>
      <x:c r="B105" s="69" t="str">
        <x:v>no-brand-alika-jade</x:v>
      </x:c>
      <x:c r="C105" s="102" t="n">
        <x:v>12</x:v>
      </x:c>
      <x:c r="D105" s="108" t="str">
        <x:v>NO BRAND</x:v>
      </x:c>
      <x:c r="E105" s="69" t="str">
        <x:v>Alika Jade</x:v>
      </x:c>
      <x:c r="F105" s="69" t="str">
        <x:v>Aksesoris</x:v>
      </x:c>
      <x:c r="G105" s="69" t="str">
        <x:v>Dewasa</x:v>
      </x:c>
      <x:c r="H105" s="69" t="str">
        <x:v>Baru</x:v>
      </x:c>
      <x:c r="I105" s="84" t="n">
        <x:f>MINIFS(VARIAN_STOK!$H$2:$H$333,VARIAN_STOK!$D$2:$D$333,$A105)</x:f>
        <x:v>75000</x:v>
      </x:c>
      <x:c r="J105" s="84" t="n">
        <x:f>MAXIFS(VARIAN_STOK!$H$2:$H$333,VARIAN_STOK!$D$2:$D$333,$A105)</x:f>
        <x:v>75000</x:v>
      </x:c>
      <x:c r="K105" s="90" t="n">
        <x:f>SUMIF(VARIAN_STOK!$D$2:$D$333,$A105,VARIAN_STOK!$I$2:$I$333)</x:f>
        <x:v>2</x:v>
      </x:c>
      <x:c r="L105" s="90" t="n">
        <x:f>COUNTIF(VARIAN_STOK!$D$2:$D$333,$A105)</x:f>
        <x:v>1</x:v>
      </x:c>
      <x:c r="M105" s="69" t="str"/>
      <x:c r="N105" s="69" t="str"/>
      <x:c r="O105" s="69" t="str"/>
      <x:c r="P105" s="69" t="str"/>
      <x:c r="Q105" s="69" t="str"/>
      <x:c r="R105" s="69" t="str"/>
      <x:c r="S105" s="69" t="str"/>
      <x:c r="T105" s="69" t="str"/>
      <x:c r="U105" s="69" t="str">
        <x:v>Tidak</x:v>
      </x:c>
      <x:c r="V105" s="69" t="str">
        <x:v>Tidak</x:v>
      </x:c>
      <x:c r="W105" s="69" t="str">
        <x:v>Aktif</x:v>
      </x:c>
      <x:c r="X105" s="70" t="str"/>
    </x:row>
    <x:row r="106">
      <x:c r="A106" s="96" t="str">
        <x:v>PRD0105</x:v>
      </x:c>
      <x:c r="B106" s="69" t="str">
        <x:v>no-brand-alika-mauve</x:v>
      </x:c>
      <x:c r="C106" s="102" t="n">
        <x:v>12</x:v>
      </x:c>
      <x:c r="D106" s="108" t="str">
        <x:v>NO BRAND</x:v>
      </x:c>
      <x:c r="E106" s="69" t="str">
        <x:v>Alika Mauve</x:v>
      </x:c>
      <x:c r="F106" s="69" t="str">
        <x:v>Aksesoris</x:v>
      </x:c>
      <x:c r="G106" s="69" t="str">
        <x:v>Dewasa</x:v>
      </x:c>
      <x:c r="H106" s="69" t="str">
        <x:v>Baru</x:v>
      </x:c>
      <x:c r="I106" s="84" t="n">
        <x:f>MINIFS(VARIAN_STOK!$H$2:$H$333,VARIAN_STOK!$D$2:$D$333,$A106)</x:f>
        <x:v>75000</x:v>
      </x:c>
      <x:c r="J106" s="84" t="n">
        <x:f>MAXIFS(VARIAN_STOK!$H$2:$H$333,VARIAN_STOK!$D$2:$D$333,$A106)</x:f>
        <x:v>75000</x:v>
      </x:c>
      <x:c r="K106" s="90" t="n">
        <x:f>SUMIF(VARIAN_STOK!$D$2:$D$333,$A106,VARIAN_STOK!$I$2:$I$333)</x:f>
        <x:v>1</x:v>
      </x:c>
      <x:c r="L106" s="90" t="n">
        <x:f>COUNTIF(VARIAN_STOK!$D$2:$D$333,$A106)</x:f>
        <x:v>1</x:v>
      </x:c>
      <x:c r="M106" s="69" t="str"/>
      <x:c r="N106" s="69" t="str"/>
      <x:c r="O106" s="69" t="str"/>
      <x:c r="P106" s="69" t="str"/>
      <x:c r="Q106" s="69" t="str"/>
      <x:c r="R106" s="69" t="str"/>
      <x:c r="S106" s="69" t="str"/>
      <x:c r="T106" s="69" t="str"/>
      <x:c r="U106" s="69" t="str">
        <x:v>Tidak</x:v>
      </x:c>
      <x:c r="V106" s="69" t="str">
        <x:v>Tidak</x:v>
      </x:c>
      <x:c r="W106" s="69" t="str">
        <x:v>Aktif</x:v>
      </x:c>
      <x:c r="X106" s="70" t="str"/>
    </x:row>
    <x:row r="107">
      <x:c r="A107" s="96" t="str">
        <x:v>PRD0106</x:v>
      </x:c>
      <x:c r="B107" s="69" t="str">
        <x:v>no-brand-anjani-pink-brooch</x:v>
      </x:c>
      <x:c r="C107" s="102" t="n">
        <x:v>12</x:v>
      </x:c>
      <x:c r="D107" s="108" t="str">
        <x:v>NO BRAND</x:v>
      </x:c>
      <x:c r="E107" s="69" t="str">
        <x:v>Anjani Pink Brooch</x:v>
      </x:c>
      <x:c r="F107" s="69" t="str">
        <x:v>Aksesoris</x:v>
      </x:c>
      <x:c r="G107" s="69" t="str">
        <x:v>Dewasa</x:v>
      </x:c>
      <x:c r="H107" s="69" t="str">
        <x:v>Baru</x:v>
      </x:c>
      <x:c r="I107" s="84" t="n">
        <x:f>MINIFS(VARIAN_STOK!$H$2:$H$333,VARIAN_STOK!$D$2:$D$333,$A107)</x:f>
        <x:v>85000</x:v>
      </x:c>
      <x:c r="J107" s="84" t="n">
        <x:f>MAXIFS(VARIAN_STOK!$H$2:$H$333,VARIAN_STOK!$D$2:$D$333,$A107)</x:f>
        <x:v>85000</x:v>
      </x:c>
      <x:c r="K107" s="90" t="n">
        <x:f>SUMIF(VARIAN_STOK!$D$2:$D$333,$A107,VARIAN_STOK!$I$2:$I$333)</x:f>
        <x:v>1</x:v>
      </x:c>
      <x:c r="L107" s="90" t="n">
        <x:f>COUNTIF(VARIAN_STOK!$D$2:$D$333,$A107)</x:f>
        <x:v>1</x:v>
      </x:c>
      <x:c r="M107" s="69" t="str"/>
      <x:c r="N107" s="69" t="str"/>
      <x:c r="O107" s="69" t="str"/>
      <x:c r="P107" s="69" t="str"/>
      <x:c r="Q107" s="69" t="str"/>
      <x:c r="R107" s="69" t="str"/>
      <x:c r="S107" s="69" t="str"/>
      <x:c r="T107" s="69" t="str"/>
      <x:c r="U107" s="69" t="str">
        <x:v>Tidak</x:v>
      </x:c>
      <x:c r="V107" s="69" t="str">
        <x:v>Tidak</x:v>
      </x:c>
      <x:c r="W107" s="69" t="str">
        <x:v>Aktif</x:v>
      </x:c>
      <x:c r="X107" s="70" t="str"/>
    </x:row>
    <x:row r="108">
      <x:c r="A108" s="96" t="str">
        <x:v>PRD0107</x:v>
      </x:c>
      <x:c r="B108" s="69" t="str">
        <x:v>no-brand-camila-necklace-beads</x:v>
      </x:c>
      <x:c r="C108" s="102" t="n">
        <x:v>12</x:v>
      </x:c>
      <x:c r="D108" s="108" t="str">
        <x:v>NO BRAND</x:v>
      </x:c>
      <x:c r="E108" s="69" t="str">
        <x:v>Camila Necklace Beads</x:v>
      </x:c>
      <x:c r="F108" s="69" t="str">
        <x:v>Aksesoris</x:v>
      </x:c>
      <x:c r="G108" s="69" t="str">
        <x:v>Dewasa</x:v>
      </x:c>
      <x:c r="H108" s="69" t="str">
        <x:v>Baru</x:v>
      </x:c>
      <x:c r="I108" s="84" t="n">
        <x:f>MINIFS(VARIAN_STOK!$H$2:$H$333,VARIAN_STOK!$D$2:$D$333,$A108)</x:f>
        <x:v>90000</x:v>
      </x:c>
      <x:c r="J108" s="84" t="n">
        <x:f>MAXIFS(VARIAN_STOK!$H$2:$H$333,VARIAN_STOK!$D$2:$D$333,$A108)</x:f>
        <x:v>90000</x:v>
      </x:c>
      <x:c r="K108" s="90" t="n">
        <x:f>SUMIF(VARIAN_STOK!$D$2:$D$333,$A108,VARIAN_STOK!$I$2:$I$333)</x:f>
        <x:v>1</x:v>
      </x:c>
      <x:c r="L108" s="90" t="n">
        <x:f>COUNTIF(VARIAN_STOK!$D$2:$D$333,$A108)</x:f>
        <x:v>1</x:v>
      </x:c>
      <x:c r="M108" s="69" t="str"/>
      <x:c r="N108" s="69" t="str"/>
      <x:c r="O108" s="69" t="str"/>
      <x:c r="P108" s="69" t="str"/>
      <x:c r="Q108" s="69" t="str"/>
      <x:c r="R108" s="69" t="str"/>
      <x:c r="S108" s="69" t="str"/>
      <x:c r="T108" s="69" t="str"/>
      <x:c r="U108" s="69" t="str">
        <x:v>Tidak</x:v>
      </x:c>
      <x:c r="V108" s="69" t="str">
        <x:v>Tidak</x:v>
      </x:c>
      <x:c r="W108" s="69" t="str">
        <x:v>Aktif</x:v>
      </x:c>
      <x:c r="X108" s="70" t="str"/>
    </x:row>
    <x:row r="109">
      <x:c r="A109" s="96" t="str">
        <x:v>PRD0108</x:v>
      </x:c>
      <x:c r="B109" s="69" t="str">
        <x:v>no-brand-chloe-ear-clip</x:v>
      </x:c>
      <x:c r="C109" s="102" t="n">
        <x:v>12</x:v>
      </x:c>
      <x:c r="D109" s="108" t="str">
        <x:v>NO BRAND</x:v>
      </x:c>
      <x:c r="E109" s="69" t="str">
        <x:v>Chloe Ear Clip</x:v>
      </x:c>
      <x:c r="F109" s="69" t="str">
        <x:v>Aksesoris</x:v>
      </x:c>
      <x:c r="G109" s="69" t="str">
        <x:v>Dewasa</x:v>
      </x:c>
      <x:c r="H109" s="69" t="str">
        <x:v>Baru</x:v>
      </x:c>
      <x:c r="I109" s="84" t="n">
        <x:f>MINIFS(VARIAN_STOK!$H$2:$H$333,VARIAN_STOK!$D$2:$D$333,$A109)</x:f>
        <x:v>70000</x:v>
      </x:c>
      <x:c r="J109" s="84" t="n">
        <x:f>MAXIFS(VARIAN_STOK!$H$2:$H$333,VARIAN_STOK!$D$2:$D$333,$A109)</x:f>
        <x:v>70000</x:v>
      </x:c>
      <x:c r="K109" s="90" t="n">
        <x:f>SUMIF(VARIAN_STOK!$D$2:$D$333,$A109,VARIAN_STOK!$I$2:$I$333)</x:f>
        <x:v>2</x:v>
      </x:c>
      <x:c r="L109" s="90" t="n">
        <x:f>COUNTIF(VARIAN_STOK!$D$2:$D$333,$A109)</x:f>
        <x:v>1</x:v>
      </x:c>
      <x:c r="M109" s="69" t="str"/>
      <x:c r="N109" s="69" t="str"/>
      <x:c r="O109" s="69" t="str"/>
      <x:c r="P109" s="69" t="str"/>
      <x:c r="Q109" s="69" t="str"/>
      <x:c r="R109" s="69" t="str"/>
      <x:c r="S109" s="69" t="str"/>
      <x:c r="T109" s="69" t="str"/>
      <x:c r="U109" s="69" t="str">
        <x:v>Tidak</x:v>
      </x:c>
      <x:c r="V109" s="69" t="str">
        <x:v>Tidak</x:v>
      </x:c>
      <x:c r="W109" s="69" t="str">
        <x:v>Aktif</x:v>
      </x:c>
      <x:c r="X109" s="70" t="str"/>
    </x:row>
    <x:row r="110">
      <x:c r="A110" s="96" t="str">
        <x:v>PRD0109</x:v>
      </x:c>
      <x:c r="B110" s="69" t="str">
        <x:v>no-brand-etzu-statement-brooch</x:v>
      </x:c>
      <x:c r="C110" s="102" t="n">
        <x:v>12</x:v>
      </x:c>
      <x:c r="D110" s="108" t="str">
        <x:v>NO BRAND</x:v>
      </x:c>
      <x:c r="E110" s="69" t="str">
        <x:v>Etzu Statement Brooch</x:v>
      </x:c>
      <x:c r="F110" s="69" t="str">
        <x:v>Aksesoris</x:v>
      </x:c>
      <x:c r="G110" s="69" t="str">
        <x:v>Dewasa</x:v>
      </x:c>
      <x:c r="H110" s="69" t="str">
        <x:v>Baru</x:v>
      </x:c>
      <x:c r="I110" s="84" t="n">
        <x:f>MINIFS(VARIAN_STOK!$H$2:$H$333,VARIAN_STOK!$D$2:$D$333,$A110)</x:f>
        <x:v>59500</x:v>
      </x:c>
      <x:c r="J110" s="84" t="n">
        <x:f>MAXIFS(VARIAN_STOK!$H$2:$H$333,VARIAN_STOK!$D$2:$D$333,$A110)</x:f>
        <x:v>59500</x:v>
      </x:c>
      <x:c r="K110" s="90" t="n">
        <x:f>SUMIF(VARIAN_STOK!$D$2:$D$333,$A110,VARIAN_STOK!$I$2:$I$333)</x:f>
        <x:v>1</x:v>
      </x:c>
      <x:c r="L110" s="90" t="n">
        <x:f>COUNTIF(VARIAN_STOK!$D$2:$D$333,$A110)</x:f>
        <x:v>1</x:v>
      </x:c>
      <x:c r="M110" s="69" t="str">
        <x:v>Sky</x:v>
      </x:c>
      <x:c r="N110" s="69" t="str"/>
      <x:c r="O110" s="69" t="str"/>
      <x:c r="P110" s="69" t="str"/>
      <x:c r="Q110" s="69" t="str"/>
      <x:c r="R110" s="69" t="str"/>
      <x:c r="S110" s="69" t="str"/>
      <x:c r="T110" s="69" t="str"/>
      <x:c r="U110" s="69" t="str">
        <x:v>Tidak</x:v>
      </x:c>
      <x:c r="V110" s="69" t="str">
        <x:v>Tidak</x:v>
      </x:c>
      <x:c r="W110" s="69" t="str">
        <x:v>Aktif</x:v>
      </x:c>
      <x:c r="X110" s="70" t="str"/>
    </x:row>
    <x:row r="111">
      <x:c r="A111" s="96" t="str">
        <x:v>PRD0110</x:v>
      </x:c>
      <x:c r="B111" s="69" t="str">
        <x:v>no-brand-gamila-statement-brooch</x:v>
      </x:c>
      <x:c r="C111" s="102" t="n">
        <x:v>12</x:v>
      </x:c>
      <x:c r="D111" s="108" t="str">
        <x:v>NO BRAND</x:v>
      </x:c>
      <x:c r="E111" s="69" t="str">
        <x:v>Gamila Statement Brooch</x:v>
      </x:c>
      <x:c r="F111" s="69" t="str">
        <x:v>Aksesoris</x:v>
      </x:c>
      <x:c r="G111" s="69" t="str">
        <x:v>Dewasa</x:v>
      </x:c>
      <x:c r="H111" s="69" t="str">
        <x:v>Baru</x:v>
      </x:c>
      <x:c r="I111" s="84" t="n">
        <x:f>MINIFS(VARIAN_STOK!$H$2:$H$333,VARIAN_STOK!$D$2:$D$333,$A111)</x:f>
        <x:v>145000</x:v>
      </x:c>
      <x:c r="J111" s="84" t="n">
        <x:f>MAXIFS(VARIAN_STOK!$H$2:$H$333,VARIAN_STOK!$D$2:$D$333,$A111)</x:f>
        <x:v>145000</x:v>
      </x:c>
      <x:c r="K111" s="90" t="n">
        <x:f>SUMIF(VARIAN_STOK!$D$2:$D$333,$A111,VARIAN_STOK!$I$2:$I$333)</x:f>
        <x:v>2</x:v>
      </x:c>
      <x:c r="L111" s="90" t="n">
        <x:f>COUNTIF(VARIAN_STOK!$D$2:$D$333,$A111)</x:f>
        <x:v>1</x:v>
      </x:c>
      <x:c r="M111" s="69" t="str"/>
      <x:c r="N111" s="69" t="str"/>
      <x:c r="O111" s="69" t="str"/>
      <x:c r="P111" s="69" t="str"/>
      <x:c r="Q111" s="69" t="str"/>
      <x:c r="R111" s="69" t="str"/>
      <x:c r="S111" s="69" t="str"/>
      <x:c r="T111" s="69" t="str"/>
      <x:c r="U111" s="69" t="str">
        <x:v>Tidak</x:v>
      </x:c>
      <x:c r="V111" s="69" t="str">
        <x:v>Tidak</x:v>
      </x:c>
      <x:c r="W111" s="69" t="str">
        <x:v>Aktif</x:v>
      </x:c>
      <x:c r="X111" s="70" t="str"/>
    </x:row>
    <x:row r="112">
      <x:c r="A112" s="96" t="str">
        <x:v>PRD0111</x:v>
      </x:c>
      <x:c r="B112" s="69" t="str">
        <x:v>no-brand-kalu-black</x:v>
      </x:c>
      <x:c r="C112" s="102" t="n">
        <x:v>12</x:v>
      </x:c>
      <x:c r="D112" s="108" t="str">
        <x:v>NO BRAND</x:v>
      </x:c>
      <x:c r="E112" s="69" t="str">
        <x:v>Kalu Black</x:v>
      </x:c>
      <x:c r="F112" s="69" t="str">
        <x:v>Aksesoris</x:v>
      </x:c>
      <x:c r="G112" s="69" t="str">
        <x:v>Dewasa</x:v>
      </x:c>
      <x:c r="H112" s="69" t="str">
        <x:v>Baru</x:v>
      </x:c>
      <x:c r="I112" s="84" t="n">
        <x:f>MINIFS(VARIAN_STOK!$H$2:$H$333,VARIAN_STOK!$D$2:$D$333,$A112)</x:f>
        <x:v>50000</x:v>
      </x:c>
      <x:c r="J112" s="84" t="n">
        <x:f>MAXIFS(VARIAN_STOK!$H$2:$H$333,VARIAN_STOK!$D$2:$D$333,$A112)</x:f>
        <x:v>50000</x:v>
      </x:c>
      <x:c r="K112" s="90" t="n">
        <x:f>SUMIF(VARIAN_STOK!$D$2:$D$333,$A112,VARIAN_STOK!$I$2:$I$333)</x:f>
        <x:v>1</x:v>
      </x:c>
      <x:c r="L112" s="90" t="n">
        <x:f>COUNTIF(VARIAN_STOK!$D$2:$D$333,$A112)</x:f>
        <x:v>1</x:v>
      </x:c>
      <x:c r="M112" s="69" t="str"/>
      <x:c r="N112" s="69" t="str"/>
      <x:c r="O112" s="69" t="str"/>
      <x:c r="P112" s="69" t="str"/>
      <x:c r="Q112" s="69" t="str"/>
      <x:c r="R112" s="69" t="str"/>
      <x:c r="S112" s="69" t="str"/>
      <x:c r="T112" s="69" t="str"/>
      <x:c r="U112" s="69" t="str">
        <x:v>Tidak</x:v>
      </x:c>
      <x:c r="V112" s="69" t="str">
        <x:v>Tidak</x:v>
      </x:c>
      <x:c r="W112" s="69" t="str">
        <x:v>Aktif</x:v>
      </x:c>
      <x:c r="X112" s="70" t="str"/>
    </x:row>
    <x:row r="113">
      <x:c r="A113" s="96" t="str">
        <x:v>PRD0112</x:v>
      </x:c>
      <x:c r="B113" s="69" t="str">
        <x:v>no-brand-kiara-necklace-beads</x:v>
      </x:c>
      <x:c r="C113" s="102" t="n">
        <x:v>12</x:v>
      </x:c>
      <x:c r="D113" s="108" t="str">
        <x:v>NO BRAND</x:v>
      </x:c>
      <x:c r="E113" s="69" t="str">
        <x:v>Kiara Necklace Beads</x:v>
      </x:c>
      <x:c r="F113" s="69" t="str">
        <x:v>Aksesoris</x:v>
      </x:c>
      <x:c r="G113" s="69" t="str">
        <x:v>Dewasa</x:v>
      </x:c>
      <x:c r="H113" s="69" t="str">
        <x:v>Baru</x:v>
      </x:c>
      <x:c r="I113" s="84" t="n">
        <x:f>MINIFS(VARIAN_STOK!$H$2:$H$333,VARIAN_STOK!$D$2:$D$333,$A113)</x:f>
        <x:v>148000</x:v>
      </x:c>
      <x:c r="J113" s="84" t="n">
        <x:f>MAXIFS(VARIAN_STOK!$H$2:$H$333,VARIAN_STOK!$D$2:$D$333,$A113)</x:f>
        <x:v>148000</x:v>
      </x:c>
      <x:c r="K113" s="90" t="n">
        <x:f>SUMIF(VARIAN_STOK!$D$2:$D$333,$A113,VARIAN_STOK!$I$2:$I$333)</x:f>
        <x:v>3</x:v>
      </x:c>
      <x:c r="L113" s="90" t="n">
        <x:f>COUNTIF(VARIAN_STOK!$D$2:$D$333,$A113)</x:f>
        <x:v>2</x:v>
      </x:c>
      <x:c r="M113" s="69" t="str">
        <x:v>Black, Blossom</x:v>
      </x:c>
      <x:c r="N113" s="69" t="str"/>
      <x:c r="O113" s="69" t="str"/>
      <x:c r="P113" s="69" t="str"/>
      <x:c r="Q113" s="69" t="str"/>
      <x:c r="R113" s="69" t="str"/>
      <x:c r="S113" s="69" t="str"/>
      <x:c r="T113" s="69" t="str"/>
      <x:c r="U113" s="69" t="str">
        <x:v>Tidak</x:v>
      </x:c>
      <x:c r="V113" s="69" t="str">
        <x:v>Tidak</x:v>
      </x:c>
      <x:c r="W113" s="69" t="str">
        <x:v>Aktif</x:v>
      </x:c>
      <x:c r="X113" s="70" t="str"/>
    </x:row>
    <x:row r="114">
      <x:c r="A114" s="96" t="str">
        <x:v>PRD0113</x:v>
      </x:c>
      <x:c r="B114" s="69" t="str">
        <x:v>no-brand-lucie-statement-brooch</x:v>
      </x:c>
      <x:c r="C114" s="102" t="n">
        <x:v>12</x:v>
      </x:c>
      <x:c r="D114" s="108" t="str">
        <x:v>NO BRAND</x:v>
      </x:c>
      <x:c r="E114" s="69" t="str">
        <x:v>Lucie Statement Brooch</x:v>
      </x:c>
      <x:c r="F114" s="69" t="str">
        <x:v>Aksesoris</x:v>
      </x:c>
      <x:c r="G114" s="69" t="str">
        <x:v>Dewasa</x:v>
      </x:c>
      <x:c r="H114" s="69" t="str">
        <x:v>Baru</x:v>
      </x:c>
      <x:c r="I114" s="84" t="n">
        <x:f>MINIFS(VARIAN_STOK!$H$2:$H$333,VARIAN_STOK!$D$2:$D$333,$A114)</x:f>
        <x:v>50000</x:v>
      </x:c>
      <x:c r="J114" s="84" t="n">
        <x:f>MAXIFS(VARIAN_STOK!$H$2:$H$333,VARIAN_STOK!$D$2:$D$333,$A114)</x:f>
        <x:v>50000</x:v>
      </x:c>
      <x:c r="K114" s="90" t="n">
        <x:f>SUMIF(VARIAN_STOK!$D$2:$D$333,$A114,VARIAN_STOK!$I$2:$I$333)</x:f>
        <x:v>1</x:v>
      </x:c>
      <x:c r="L114" s="90" t="n">
        <x:f>COUNTIF(VARIAN_STOK!$D$2:$D$333,$A114)</x:f>
        <x:v>1</x:v>
      </x:c>
      <x:c r="M114" s="69" t="str"/>
      <x:c r="N114" s="69" t="str"/>
      <x:c r="O114" s="69" t="str"/>
      <x:c r="P114" s="69" t="str"/>
      <x:c r="Q114" s="69" t="str"/>
      <x:c r="R114" s="69" t="str"/>
      <x:c r="S114" s="69" t="str"/>
      <x:c r="T114" s="69" t="str"/>
      <x:c r="U114" s="69" t="str">
        <x:v>Tidak</x:v>
      </x:c>
      <x:c r="V114" s="69" t="str">
        <x:v>Tidak</x:v>
      </x:c>
      <x:c r="W114" s="69" t="str">
        <x:v>Aktif</x:v>
      </x:c>
      <x:c r="X114" s="70" t="str"/>
    </x:row>
    <x:row r="115">
      <x:c r="A115" s="96" t="str">
        <x:v>PRD0114</x:v>
      </x:c>
      <x:c r="B115" s="69" t="str">
        <x:v>no-brand-mini-brooch-chloe-brooch</x:v>
      </x:c>
      <x:c r="C115" s="102" t="n">
        <x:v>12</x:v>
      </x:c>
      <x:c r="D115" s="108" t="str">
        <x:v>NO BRAND</x:v>
      </x:c>
      <x:c r="E115" s="69" t="str">
        <x:v>Mini Brooch - Chloe Brooch</x:v>
      </x:c>
      <x:c r="F115" s="69" t="str">
        <x:v>Aksesoris</x:v>
      </x:c>
      <x:c r="G115" s="69" t="str">
        <x:v>Dewasa</x:v>
      </x:c>
      <x:c r="H115" s="69" t="str">
        <x:v>Baru</x:v>
      </x:c>
      <x:c r="I115" s="84" t="n">
        <x:f>MINIFS(VARIAN_STOK!$H$2:$H$333,VARIAN_STOK!$D$2:$D$333,$A115)</x:f>
        <x:v>45000</x:v>
      </x:c>
      <x:c r="J115" s="84" t="n">
        <x:f>MAXIFS(VARIAN_STOK!$H$2:$H$333,VARIAN_STOK!$D$2:$D$333,$A115)</x:f>
        <x:v>45000</x:v>
      </x:c>
      <x:c r="K115" s="90" t="n">
        <x:f>SUMIF(VARIAN_STOK!$D$2:$D$333,$A115,VARIAN_STOK!$I$2:$I$333)</x:f>
        <x:v>2</x:v>
      </x:c>
      <x:c r="L115" s="90" t="n">
        <x:f>COUNTIF(VARIAN_STOK!$D$2:$D$333,$A115)</x:f>
        <x:v>1</x:v>
      </x:c>
      <x:c r="M115" s="69" t="str"/>
      <x:c r="N115" s="69" t="str"/>
      <x:c r="O115" s="69" t="str"/>
      <x:c r="P115" s="69" t="str"/>
      <x:c r="Q115" s="69" t="str"/>
      <x:c r="R115" s="69" t="str"/>
      <x:c r="S115" s="69" t="str"/>
      <x:c r="T115" s="69" t="str"/>
      <x:c r="U115" s="69" t="str">
        <x:v>Tidak</x:v>
      </x:c>
      <x:c r="V115" s="69" t="str">
        <x:v>Tidak</x:v>
      </x:c>
      <x:c r="W115" s="69" t="str">
        <x:v>Aktif</x:v>
      </x:c>
      <x:c r="X115" s="70" t="str"/>
    </x:row>
    <x:row r="116">
      <x:c r="A116" s="96" t="str">
        <x:v>PRD0115</x:v>
      </x:c>
      <x:c r="B116" s="69" t="str">
        <x:v>no-brand-mona-ear-clip</x:v>
      </x:c>
      <x:c r="C116" s="102" t="n">
        <x:v>12</x:v>
      </x:c>
      <x:c r="D116" s="108" t="str">
        <x:v>NO BRAND</x:v>
      </x:c>
      <x:c r="E116" s="69" t="str">
        <x:v>Mona Ear Clip</x:v>
      </x:c>
      <x:c r="F116" s="69" t="str">
        <x:v>Aksesoris</x:v>
      </x:c>
      <x:c r="G116" s="69" t="str">
        <x:v>Dewasa</x:v>
      </x:c>
      <x:c r="H116" s="69" t="str">
        <x:v>Baru</x:v>
      </x:c>
      <x:c r="I116" s="84" t="n">
        <x:f>MINIFS(VARIAN_STOK!$H$2:$H$333,VARIAN_STOK!$D$2:$D$333,$A116)</x:f>
        <x:v>75000</x:v>
      </x:c>
      <x:c r="J116" s="84" t="n">
        <x:f>MAXIFS(VARIAN_STOK!$H$2:$H$333,VARIAN_STOK!$D$2:$D$333,$A116)</x:f>
        <x:v>75000</x:v>
      </x:c>
      <x:c r="K116" s="90" t="n">
        <x:f>SUMIF(VARIAN_STOK!$D$2:$D$333,$A116,VARIAN_STOK!$I$2:$I$333)</x:f>
        <x:v>1</x:v>
      </x:c>
      <x:c r="L116" s="90" t="n">
        <x:f>COUNTIF(VARIAN_STOK!$D$2:$D$333,$A116)</x:f>
        <x:v>1</x:v>
      </x:c>
      <x:c r="M116" s="69" t="str"/>
      <x:c r="N116" s="69" t="str"/>
      <x:c r="O116" s="69" t="str"/>
      <x:c r="P116" s="69" t="str"/>
      <x:c r="Q116" s="69" t="str"/>
      <x:c r="R116" s="69" t="str"/>
      <x:c r="S116" s="69" t="str"/>
      <x:c r="T116" s="69" t="str"/>
      <x:c r="U116" s="69" t="str">
        <x:v>Tidak</x:v>
      </x:c>
      <x:c r="V116" s="69" t="str">
        <x:v>Tidak</x:v>
      </x:c>
      <x:c r="W116" s="69" t="str">
        <x:v>Aktif</x:v>
      </x:c>
      <x:c r="X116" s="70" t="str"/>
    </x:row>
    <x:row r="117">
      <x:c r="A117" s="96" t="str">
        <x:v>PRD0116</x:v>
      </x:c>
      <x:c r="B117" s="69" t="str">
        <x:v>no-brand-sarayu-statement-brooch</x:v>
      </x:c>
      <x:c r="C117" s="102" t="n">
        <x:v>12</x:v>
      </x:c>
      <x:c r="D117" s="108" t="str">
        <x:v>NO BRAND</x:v>
      </x:c>
      <x:c r="E117" s="69" t="str">
        <x:v>Sarayu Statement Brooch</x:v>
      </x:c>
      <x:c r="F117" s="69" t="str">
        <x:v>Aksesoris</x:v>
      </x:c>
      <x:c r="G117" s="69" t="str">
        <x:v>Dewasa</x:v>
      </x:c>
      <x:c r="H117" s="69" t="str">
        <x:v>Baru</x:v>
      </x:c>
      <x:c r="I117" s="84" t="n">
        <x:f>MINIFS(VARIAN_STOK!$H$2:$H$333,VARIAN_STOK!$D$2:$D$333,$A117)</x:f>
        <x:v>100000</x:v>
      </x:c>
      <x:c r="J117" s="84" t="n">
        <x:f>MAXIFS(VARIAN_STOK!$H$2:$H$333,VARIAN_STOK!$D$2:$D$333,$A117)</x:f>
        <x:v>100000</x:v>
      </x:c>
      <x:c r="K117" s="90" t="n">
        <x:f>SUMIF(VARIAN_STOK!$D$2:$D$333,$A117,VARIAN_STOK!$I$2:$I$333)</x:f>
        <x:v>2</x:v>
      </x:c>
      <x:c r="L117" s="90" t="n">
        <x:f>COUNTIF(VARIAN_STOK!$D$2:$D$333,$A117)</x:f>
        <x:v>1</x:v>
      </x:c>
      <x:c r="M117" s="69" t="str">
        <x:v>Emerald</x:v>
      </x:c>
      <x:c r="N117" s="69" t="str"/>
      <x:c r="O117" s="69" t="str"/>
      <x:c r="P117" s="69" t="str"/>
      <x:c r="Q117" s="69" t="str"/>
      <x:c r="R117" s="69" t="str"/>
      <x:c r="S117" s="69" t="str"/>
      <x:c r="T117" s="69" t="str"/>
      <x:c r="U117" s="69" t="str">
        <x:v>Tidak</x:v>
      </x:c>
      <x:c r="V117" s="69" t="str">
        <x:v>Tidak</x:v>
      </x:c>
      <x:c r="W117" s="69" t="str">
        <x:v>Aktif</x:v>
      </x:c>
      <x:c r="X117" s="70" t="str"/>
    </x:row>
    <x:row r="118">
      <x:c r="A118" s="96" t="str">
        <x:v>PRD0117</x:v>
      </x:c>
      <x:c r="B118" s="69" t="str">
        <x:v>no-brand-savana-ear-clip</x:v>
      </x:c>
      <x:c r="C118" s="102" t="n">
        <x:v>12</x:v>
      </x:c>
      <x:c r="D118" s="108" t="str">
        <x:v>NO BRAND</x:v>
      </x:c>
      <x:c r="E118" s="69" t="str">
        <x:v>Savana Ear Clip</x:v>
      </x:c>
      <x:c r="F118" s="69" t="str">
        <x:v>Aksesoris</x:v>
      </x:c>
      <x:c r="G118" s="69" t="str">
        <x:v>Dewasa</x:v>
      </x:c>
      <x:c r="H118" s="69" t="str">
        <x:v>Baru</x:v>
      </x:c>
      <x:c r="I118" s="84" t="n">
        <x:f>MINIFS(VARIAN_STOK!$H$2:$H$333,VARIAN_STOK!$D$2:$D$333,$A118)</x:f>
        <x:v>70000</x:v>
      </x:c>
      <x:c r="J118" s="84" t="n">
        <x:f>MAXIFS(VARIAN_STOK!$H$2:$H$333,VARIAN_STOK!$D$2:$D$333,$A118)</x:f>
        <x:v>70000</x:v>
      </x:c>
      <x:c r="K118" s="90" t="n">
        <x:f>SUMIF(VARIAN_STOK!$D$2:$D$333,$A118,VARIAN_STOK!$I$2:$I$333)</x:f>
        <x:v>2</x:v>
      </x:c>
      <x:c r="L118" s="90" t="n">
        <x:f>COUNTIF(VARIAN_STOK!$D$2:$D$333,$A118)</x:f>
        <x:v>1</x:v>
      </x:c>
      <x:c r="M118" s="69" t="str"/>
      <x:c r="N118" s="69" t="str"/>
      <x:c r="O118" s="69" t="str"/>
      <x:c r="P118" s="69" t="str"/>
      <x:c r="Q118" s="69" t="str"/>
      <x:c r="R118" s="69" t="str"/>
      <x:c r="S118" s="69" t="str"/>
      <x:c r="T118" s="69" t="str"/>
      <x:c r="U118" s="69" t="str">
        <x:v>Tidak</x:v>
      </x:c>
      <x:c r="V118" s="69" t="str">
        <x:v>Tidak</x:v>
      </x:c>
      <x:c r="W118" s="69" t="str">
        <x:v>Aktif</x:v>
      </x:c>
      <x:c r="X118" s="70" t="str"/>
    </x:row>
    <x:row r="119">
      <x:c r="A119" s="96" t="str">
        <x:v>PRD0118</x:v>
      </x:c>
      <x:c r="B119" s="69" t="str">
        <x:v>no-brand-sena-ear-clip</x:v>
      </x:c>
      <x:c r="C119" s="102" t="n">
        <x:v>12</x:v>
      </x:c>
      <x:c r="D119" s="108" t="str">
        <x:v>NO BRAND</x:v>
      </x:c>
      <x:c r="E119" s="69" t="str">
        <x:v>Sena Ear Clip</x:v>
      </x:c>
      <x:c r="F119" s="69" t="str">
        <x:v>Aksesoris</x:v>
      </x:c>
      <x:c r="G119" s="69" t="str">
        <x:v>Dewasa</x:v>
      </x:c>
      <x:c r="H119" s="69" t="str">
        <x:v>Baru</x:v>
      </x:c>
      <x:c r="I119" s="84" t="n">
        <x:f>MINIFS(VARIAN_STOK!$H$2:$H$333,VARIAN_STOK!$D$2:$D$333,$A119)</x:f>
        <x:v>75000</x:v>
      </x:c>
      <x:c r="J119" s="84" t="n">
        <x:f>MAXIFS(VARIAN_STOK!$H$2:$H$333,VARIAN_STOK!$D$2:$D$333,$A119)</x:f>
        <x:v>75000</x:v>
      </x:c>
      <x:c r="K119" s="90" t="n">
        <x:f>SUMIF(VARIAN_STOK!$D$2:$D$333,$A119,VARIAN_STOK!$I$2:$I$333)</x:f>
        <x:v>2</x:v>
      </x:c>
      <x:c r="L119" s="90" t="n">
        <x:f>COUNTIF(VARIAN_STOK!$D$2:$D$333,$A119)</x:f>
        <x:v>1</x:v>
      </x:c>
      <x:c r="M119" s="69" t="str"/>
      <x:c r="N119" s="69" t="str"/>
      <x:c r="O119" s="69" t="str"/>
      <x:c r="P119" s="69" t="str"/>
      <x:c r="Q119" s="69" t="str"/>
      <x:c r="R119" s="69" t="str"/>
      <x:c r="S119" s="69" t="str"/>
      <x:c r="T119" s="69" t="str"/>
      <x:c r="U119" s="69" t="str">
        <x:v>Tidak</x:v>
      </x:c>
      <x:c r="V119" s="69" t="str">
        <x:v>Tidak</x:v>
      </x:c>
      <x:c r="W119" s="69" t="str">
        <x:v>Aktif</x:v>
      </x:c>
      <x:c r="X119" s="70" t="str"/>
    </x:row>
    <x:row r="120">
      <x:c r="A120" s="96" t="str">
        <x:v>PRD0119</x:v>
      </x:c>
      <x:c r="B120" s="69" t="str">
        <x:v>no-brand-sonya-ear-clip</x:v>
      </x:c>
      <x:c r="C120" s="102" t="n">
        <x:v>12</x:v>
      </x:c>
      <x:c r="D120" s="108" t="str">
        <x:v>NO BRAND</x:v>
      </x:c>
      <x:c r="E120" s="69" t="str">
        <x:v>Sonya Ear Clip</x:v>
      </x:c>
      <x:c r="F120" s="69" t="str">
        <x:v>Aksesoris</x:v>
      </x:c>
      <x:c r="G120" s="69" t="str">
        <x:v>Dewasa</x:v>
      </x:c>
      <x:c r="H120" s="69" t="str">
        <x:v>Baru</x:v>
      </x:c>
      <x:c r="I120" s="84" t="n">
        <x:f>MINIFS(VARIAN_STOK!$H$2:$H$333,VARIAN_STOK!$D$2:$D$333,$A120)</x:f>
        <x:v>70000</x:v>
      </x:c>
      <x:c r="J120" s="84" t="n">
        <x:f>MAXIFS(VARIAN_STOK!$H$2:$H$333,VARIAN_STOK!$D$2:$D$333,$A120)</x:f>
        <x:v>70000</x:v>
      </x:c>
      <x:c r="K120" s="90" t="n">
        <x:f>SUMIF(VARIAN_STOK!$D$2:$D$333,$A120,VARIAN_STOK!$I$2:$I$333)</x:f>
        <x:v>2</x:v>
      </x:c>
      <x:c r="L120" s="90" t="n">
        <x:f>COUNTIF(VARIAN_STOK!$D$2:$D$333,$A120)</x:f>
        <x:v>1</x:v>
      </x:c>
      <x:c r="M120" s="69" t="str"/>
      <x:c r="N120" s="69" t="str"/>
      <x:c r="O120" s="69" t="str"/>
      <x:c r="P120" s="69" t="str"/>
      <x:c r="Q120" s="69" t="str"/>
      <x:c r="R120" s="69" t="str"/>
      <x:c r="S120" s="69" t="str"/>
      <x:c r="T120" s="69" t="str"/>
      <x:c r="U120" s="69" t="str">
        <x:v>Tidak</x:v>
      </x:c>
      <x:c r="V120" s="69" t="str">
        <x:v>Tidak</x:v>
      </x:c>
      <x:c r="W120" s="69" t="str">
        <x:v>Aktif</x:v>
      </x:c>
      <x:c r="X120" s="70" t="str"/>
    </x:row>
    <x:row r="121">
      <x:c r="A121" s="96" t="str">
        <x:v>PRD0120</x:v>
      </x:c>
      <x:c r="B121" s="69" t="str">
        <x:v>no-brand-tajana-brooch</x:v>
      </x:c>
      <x:c r="C121" s="102" t="n">
        <x:v>12</x:v>
      </x:c>
      <x:c r="D121" s="108" t="str">
        <x:v>NO BRAND</x:v>
      </x:c>
      <x:c r="E121" s="69" t="str">
        <x:v>Tajana Brooch</x:v>
      </x:c>
      <x:c r="F121" s="69" t="str">
        <x:v>Aksesoris</x:v>
      </x:c>
      <x:c r="G121" s="69" t="str">
        <x:v>Dewasa</x:v>
      </x:c>
      <x:c r="H121" s="69" t="str">
        <x:v>Baru</x:v>
      </x:c>
      <x:c r="I121" s="84" t="n">
        <x:f>MINIFS(VARIAN_STOK!$H$2:$H$333,VARIAN_STOK!$D$2:$D$333,$A121)</x:f>
        <x:v>135000</x:v>
      </x:c>
      <x:c r="J121" s="84" t="n">
        <x:f>MAXIFS(VARIAN_STOK!$H$2:$H$333,VARIAN_STOK!$D$2:$D$333,$A121)</x:f>
        <x:v>135000</x:v>
      </x:c>
      <x:c r="K121" s="90" t="n">
        <x:f>SUMIF(VARIAN_STOK!$D$2:$D$333,$A121,VARIAN_STOK!$I$2:$I$333)</x:f>
        <x:v>3</x:v>
      </x:c>
      <x:c r="L121" s="90" t="n">
        <x:f>COUNTIF(VARIAN_STOK!$D$2:$D$333,$A121)</x:f>
        <x:v>2</x:v>
      </x:c>
      <x:c r="M121" s="69" t="str">
        <x:v>Black, Maroon</x:v>
      </x:c>
      <x:c r="N121" s="69" t="str"/>
      <x:c r="O121" s="69" t="str"/>
      <x:c r="P121" s="69" t="str"/>
      <x:c r="Q121" s="69" t="str"/>
      <x:c r="R121" s="69" t="str"/>
      <x:c r="S121" s="69" t="str"/>
      <x:c r="T121" s="69" t="str"/>
      <x:c r="U121" s="69" t="str">
        <x:v>Tidak</x:v>
      </x:c>
      <x:c r="V121" s="69" t="str">
        <x:v>Tidak</x:v>
      </x:c>
      <x:c r="W121" s="69" t="str">
        <x:v>Aktif</x:v>
      </x:c>
      <x:c r="X121" s="70" t="str"/>
    </x:row>
    <x:row r="122">
      <x:c r="A122" s="96" t="str">
        <x:v>PRD0121</x:v>
      </x:c>
      <x:c r="B122" s="69" t="str">
        <x:v>no-brand-yeona-statement-brooch</x:v>
      </x:c>
      <x:c r="C122" s="102" t="n">
        <x:v>12</x:v>
      </x:c>
      <x:c r="D122" s="108" t="str">
        <x:v>NO BRAND</x:v>
      </x:c>
      <x:c r="E122" s="69" t="str">
        <x:v>Yeona Statement Brooch</x:v>
      </x:c>
      <x:c r="F122" s="69" t="str">
        <x:v>Aksesoris</x:v>
      </x:c>
      <x:c r="G122" s="69" t="str">
        <x:v>Dewasa</x:v>
      </x:c>
      <x:c r="H122" s="69" t="str">
        <x:v>Baru</x:v>
      </x:c>
      <x:c r="I122" s="84" t="n">
        <x:f>MINIFS(VARIAN_STOK!$H$2:$H$333,VARIAN_STOK!$D$2:$D$333,$A122)</x:f>
        <x:v>145000</x:v>
      </x:c>
      <x:c r="J122" s="84" t="n">
        <x:f>MAXIFS(VARIAN_STOK!$H$2:$H$333,VARIAN_STOK!$D$2:$D$333,$A122)</x:f>
        <x:v>145000</x:v>
      </x:c>
      <x:c r="K122" s="90" t="n">
        <x:f>SUMIF(VARIAN_STOK!$D$2:$D$333,$A122,VARIAN_STOK!$I$2:$I$333)</x:f>
        <x:v>4</x:v>
      </x:c>
      <x:c r="L122" s="90" t="n">
        <x:f>COUNTIF(VARIAN_STOK!$D$2:$D$333,$A122)</x:f>
        <x:v>3</x:v>
      </x:c>
      <x:c r="M122" s="69" t="str">
        <x:v>Black Amethyst, Creamy, Full Black</x:v>
      </x:c>
      <x:c r="N122" s="69" t="str"/>
      <x:c r="O122" s="69" t="str"/>
      <x:c r="P122" s="69" t="str"/>
      <x:c r="Q122" s="69" t="str"/>
      <x:c r="R122" s="69" t="str"/>
      <x:c r="S122" s="69" t="str"/>
      <x:c r="T122" s="69" t="str"/>
      <x:c r="U122" s="69" t="str">
        <x:v>Tidak</x:v>
      </x:c>
      <x:c r="V122" s="69" t="str">
        <x:v>Tidak</x:v>
      </x:c>
      <x:c r="W122" s="69" t="str">
        <x:v>Aktif</x:v>
      </x:c>
      <x:c r="X122" s="70" t="str"/>
    </x:row>
    <x:row r="123">
      <x:c r="A123" s="96" t="str">
        <x:v>PRD0122</x:v>
      </x:c>
      <x:c r="B123" s="69" t="str">
        <x:v>no-brand-post-bag</x:v>
      </x:c>
      <x:c r="C123" s="102" t="n">
        <x:v>12</x:v>
      </x:c>
      <x:c r="D123" s="108" t="str">
        <x:v>NO BRAND</x:v>
      </x:c>
      <x:c r="E123" s="69" t="str">
        <x:v>Post Bag</x:v>
      </x:c>
      <x:c r="F123" s="69" t="str">
        <x:v>Bag</x:v>
      </x:c>
      <x:c r="G123" s="69" t="str">
        <x:v>Dewasa</x:v>
      </x:c>
      <x:c r="H123" s="69" t="str">
        <x:v>Baru</x:v>
      </x:c>
      <x:c r="I123" s="84" t="n">
        <x:f>MINIFS(VARIAN_STOK!$H$2:$H$333,VARIAN_STOK!$D$2:$D$333,$A123)</x:f>
        <x:v>300000</x:v>
      </x:c>
      <x:c r="J123" s="84" t="n">
        <x:f>MAXIFS(VARIAN_STOK!$H$2:$H$333,VARIAN_STOK!$D$2:$D$333,$A123)</x:f>
        <x:v>300000</x:v>
      </x:c>
      <x:c r="K123" s="90" t="n">
        <x:f>SUMIF(VARIAN_STOK!$D$2:$D$333,$A123,VARIAN_STOK!$I$2:$I$333)</x:f>
        <x:v>1</x:v>
      </x:c>
      <x:c r="L123" s="90" t="n">
        <x:f>COUNTIF(VARIAN_STOK!$D$2:$D$333,$A123)</x:f>
        <x:v>1</x:v>
      </x:c>
      <x:c r="M123" s="69" t="str">
        <x:v>Silver</x:v>
      </x:c>
      <x:c r="N123" s="69" t="str"/>
      <x:c r="O123" s="69" t="str"/>
      <x:c r="P123" s="69" t="str"/>
      <x:c r="Q123" s="69" t="str"/>
      <x:c r="R123" s="69" t="str"/>
      <x:c r="S123" s="69" t="str"/>
      <x:c r="T123" s="69" t="str"/>
      <x:c r="U123" s="69" t="str">
        <x:v>Tidak</x:v>
      </x:c>
      <x:c r="V123" s="69" t="str">
        <x:v>Tidak</x:v>
      </x:c>
      <x:c r="W123" s="69" t="str">
        <x:v>Aktif</x:v>
      </x:c>
      <x:c r="X123" s="70" t="str"/>
    </x:row>
    <x:row r="124">
      <x:c r="A124" s="96" t="str">
        <x:v>PRD0123</x:v>
      </x:c>
      <x:c r="B124" s="69" t="str">
        <x:v>no-brand-kirana-paris</x:v>
      </x:c>
      <x:c r="C124" s="102" t="n">
        <x:v>12</x:v>
      </x:c>
      <x:c r="D124" s="108" t="str">
        <x:v>NO BRAND</x:v>
      </x:c>
      <x:c r="E124" s="69" t="str">
        <x:v>Kirana Paris</x:v>
      </x:c>
      <x:c r="F124" s="69" t="str">
        <x:v>Hijab</x:v>
      </x:c>
      <x:c r="G124" s="69" t="str">
        <x:v>Dewasa</x:v>
      </x:c>
      <x:c r="H124" s="69" t="str">
        <x:v>Baru</x:v>
      </x:c>
      <x:c r="I124" s="84" t="n">
        <x:f>MINIFS(VARIAN_STOK!$H$2:$H$333,VARIAN_STOK!$D$2:$D$333,$A124)</x:f>
        <x:v>129000</x:v>
      </x:c>
      <x:c r="J124" s="84" t="n">
        <x:f>MAXIFS(VARIAN_STOK!$H$2:$H$333,VARIAN_STOK!$D$2:$D$333,$A124)</x:f>
        <x:v>129000</x:v>
      </x:c>
      <x:c r="K124" s="90" t="n">
        <x:f>SUMIF(VARIAN_STOK!$D$2:$D$333,$A124,VARIAN_STOK!$I$2:$I$333)</x:f>
        <x:v>2</x:v>
      </x:c>
      <x:c r="L124" s="90" t="n">
        <x:f>COUNTIF(VARIAN_STOK!$D$2:$D$333,$A124)</x:f>
        <x:v>2</x:v>
      </x:c>
      <x:c r="M124" s="69" t="str">
        <x:v>Brown Muffin, Burgundy</x:v>
      </x:c>
      <x:c r="N124" s="69" t="str"/>
      <x:c r="O124" s="69" t="str"/>
      <x:c r="P124" s="69" t="str"/>
      <x:c r="Q124" s="69" t="str"/>
      <x:c r="R124" s="69" t="str"/>
      <x:c r="S124" s="69" t="str"/>
      <x:c r="T124" s="69" t="str"/>
      <x:c r="U124" s="69" t="str">
        <x:v>Tidak</x:v>
      </x:c>
      <x:c r="V124" s="69" t="str">
        <x:v>Tidak</x:v>
      </x:c>
      <x:c r="W124" s="69" t="str">
        <x:v>Aktif</x:v>
      </x:c>
      <x:c r="X124" s="70" t="str"/>
    </x:row>
    <x:row r="125">
      <x:c r="A125" s="96" t="str">
        <x:v>PRD0124</x:v>
      </x:c>
      <x:c r="B125" s="69" t="str">
        <x:v>no-brand-pashmina-nour</x:v>
      </x:c>
      <x:c r="C125" s="102" t="n">
        <x:v>12</x:v>
      </x:c>
      <x:c r="D125" s="108" t="str">
        <x:v>NO BRAND</x:v>
      </x:c>
      <x:c r="E125" s="69" t="str">
        <x:v>Pashmina Nour</x:v>
      </x:c>
      <x:c r="F125" s="69" t="str">
        <x:v>Hijab</x:v>
      </x:c>
      <x:c r="G125" s="69" t="str">
        <x:v>Dewasa</x:v>
      </x:c>
      <x:c r="H125" s="69" t="str">
        <x:v>Baru</x:v>
      </x:c>
      <x:c r="I125" s="84" t="n">
        <x:f>MINIFS(VARIAN_STOK!$H$2:$H$333,VARIAN_STOK!$D$2:$D$333,$A125)</x:f>
        <x:v>129000</x:v>
      </x:c>
      <x:c r="J125" s="84" t="n">
        <x:f>MAXIFS(VARIAN_STOK!$H$2:$H$333,VARIAN_STOK!$D$2:$D$333,$A125)</x:f>
        <x:v>129000</x:v>
      </x:c>
      <x:c r="K125" s="90" t="n">
        <x:f>SUMIF(VARIAN_STOK!$D$2:$D$333,$A125,VARIAN_STOK!$I$2:$I$333)</x:f>
        <x:v>3</x:v>
      </x:c>
      <x:c r="L125" s="90" t="n">
        <x:f>COUNTIF(VARIAN_STOK!$D$2:$D$333,$A125)</x:f>
        <x:v>3</x:v>
      </x:c>
      <x:c r="M125" s="69" t="str">
        <x:v>Brown Muffin, Muffin, Tea Rose</x:v>
      </x:c>
      <x:c r="N125" s="69" t="str"/>
      <x:c r="O125" s="69" t="str"/>
      <x:c r="P125" s="69" t="str"/>
      <x:c r="Q125" s="69" t="str"/>
      <x:c r="R125" s="69" t="str"/>
      <x:c r="S125" s="69" t="str"/>
      <x:c r="T125" s="69" t="str"/>
      <x:c r="U125" s="69" t="str">
        <x:v>Tidak</x:v>
      </x:c>
      <x:c r="V125" s="69" t="str">
        <x:v>Tidak</x:v>
      </x:c>
      <x:c r="W125" s="69" t="str">
        <x:v>Aktif</x:v>
      </x:c>
      <x:c r="X125" s="70" t="str"/>
    </x:row>
    <x:row r="126">
      <x:c r="A126" s="96" t="str">
        <x:v>PRD0125</x:v>
      </x:c>
      <x:c r="B126" s="69" t="str">
        <x:v>no-brand-yasmeen-mukena-traveling</x:v>
      </x:c>
      <x:c r="C126" s="102" t="n">
        <x:v>12</x:v>
      </x:c>
      <x:c r="D126" s="108" t="str">
        <x:v>NO BRAND</x:v>
      </x:c>
      <x:c r="E126" s="69" t="str">
        <x:v>Yasmeen Mukena Traveling</x:v>
      </x:c>
      <x:c r="F126" s="69" t="str">
        <x:v>Mukena</x:v>
      </x:c>
      <x:c r="G126" s="69" t="str">
        <x:v>Dewasa</x:v>
      </x:c>
      <x:c r="H126" s="69" t="str">
        <x:v>Baru</x:v>
      </x:c>
      <x:c r="I126" s="84" t="n">
        <x:f>MINIFS(VARIAN_STOK!$H$2:$H$333,VARIAN_STOK!$D$2:$D$333,$A126)</x:f>
        <x:v>200000</x:v>
      </x:c>
      <x:c r="J126" s="84" t="n">
        <x:f>MAXIFS(VARIAN_STOK!$H$2:$H$333,VARIAN_STOK!$D$2:$D$333,$A126)</x:f>
        <x:v>200000</x:v>
      </x:c>
      <x:c r="K126" s="90" t="n">
        <x:f>SUMIF(VARIAN_STOK!$D$2:$D$333,$A126,VARIAN_STOK!$I$2:$I$333)</x:f>
        <x:v>1</x:v>
      </x:c>
      <x:c r="L126" s="90" t="n">
        <x:f>COUNTIF(VARIAN_STOK!$D$2:$D$333,$A126)</x:f>
        <x:v>1</x:v>
      </x:c>
      <x:c r="M126" s="69" t="str">
        <x:v>Blush</x:v>
      </x:c>
      <x:c r="N126" s="69" t="str"/>
      <x:c r="O126" s="69" t="str"/>
      <x:c r="P126" s="69" t="str"/>
      <x:c r="Q126" s="69" t="str"/>
      <x:c r="R126" s="69" t="str"/>
      <x:c r="S126" s="69" t="str"/>
      <x:c r="T126" s="69" t="str"/>
      <x:c r="U126" s="69" t="str">
        <x:v>Tidak</x:v>
      </x:c>
      <x:c r="V126" s="69" t="str">
        <x:v>Tidak</x:v>
      </x:c>
      <x:c r="W126" s="69" t="str">
        <x:v>Aktif</x:v>
      </x:c>
      <x:c r="X126" s="70" t="str"/>
    </x:row>
    <x:row r="127">
      <x:c r="A127" s="96" t="str">
        <x:v>PRD0126</x:v>
      </x:c>
      <x:c r="B127" s="69" t="str">
        <x:v>no-brand-barrel-pants</x:v>
      </x:c>
      <x:c r="C127" s="102" t="n">
        <x:v>12</x:v>
      </x:c>
      <x:c r="D127" s="108" t="str">
        <x:v>NO BRAND</x:v>
      </x:c>
      <x:c r="E127" s="69" t="str">
        <x:v>Barrel Pants</x:v>
      </x:c>
      <x:c r="F127" s="69" t="str">
        <x:v>Pants</x:v>
      </x:c>
      <x:c r="G127" s="69" t="str">
        <x:v>Dewasa</x:v>
      </x:c>
      <x:c r="H127" s="69" t="str">
        <x:v>Baru</x:v>
      </x:c>
      <x:c r="I127" s="84" t="n">
        <x:f>MINIFS(VARIAN_STOK!$H$2:$H$333,VARIAN_STOK!$D$2:$D$333,$A127)</x:f>
        <x:v>215000</x:v>
      </x:c>
      <x:c r="J127" s="84" t="n">
        <x:f>MAXIFS(VARIAN_STOK!$H$2:$H$333,VARIAN_STOK!$D$2:$D$333,$A127)</x:f>
        <x:v>215000</x:v>
      </x:c>
      <x:c r="K127" s="90" t="n">
        <x:f>SUMIF(VARIAN_STOK!$D$2:$D$333,$A127,VARIAN_STOK!$I$2:$I$333)</x:f>
        <x:v>5</x:v>
      </x:c>
      <x:c r="L127" s="90" t="n">
        <x:f>COUNTIF(VARIAN_STOK!$D$2:$D$333,$A127)</x:f>
        <x:v>5</x:v>
      </x:c>
      <x:c r="M127" s="69" t="str">
        <x:v>Jet Black, Oat, White</x:v>
      </x:c>
      <x:c r="N127" s="69" t="str">
        <x:v>Bigi Size, Reg Size</x:v>
      </x:c>
      <x:c r="O127" s="69" t="str"/>
      <x:c r="P127" s="69" t="str"/>
      <x:c r="Q127" s="69" t="str"/>
      <x:c r="R127" s="69" t="str"/>
      <x:c r="S127" s="69" t="str"/>
      <x:c r="T127" s="69" t="str"/>
      <x:c r="U127" s="69" t="str">
        <x:v>Tidak</x:v>
      </x:c>
      <x:c r="V127" s="69" t="str">
        <x:v>Tidak</x:v>
      </x:c>
      <x:c r="W127" s="69" t="str">
        <x:v>Aktif</x:v>
      </x:c>
      <x:c r="X127" s="70" t="str"/>
    </x:row>
    <x:row r="128">
      <x:c r="A128" s="96" t="str">
        <x:v>PRD0127</x:v>
      </x:c>
      <x:c r="B128" s="69" t="str">
        <x:v>no-brand-kaya-top</x:v>
      </x:c>
      <x:c r="C128" s="102" t="n">
        <x:v>12</x:v>
      </x:c>
      <x:c r="D128" s="108" t="str">
        <x:v>NO BRAND</x:v>
      </x:c>
      <x:c r="E128" s="69" t="str">
        <x:v>Kaya Top</x:v>
      </x:c>
      <x:c r="F128" s="69" t="str">
        <x:v>Shirt</x:v>
      </x:c>
      <x:c r="G128" s="69" t="str">
        <x:v>Dewasa</x:v>
      </x:c>
      <x:c r="H128" s="69" t="str">
        <x:v>Baru</x:v>
      </x:c>
      <x:c r="I128" s="84" t="n">
        <x:f>MINIFS(VARIAN_STOK!$H$2:$H$333,VARIAN_STOK!$D$2:$D$333,$A128)</x:f>
        <x:v>199000</x:v>
      </x:c>
      <x:c r="J128" s="84" t="n">
        <x:f>MAXIFS(VARIAN_STOK!$H$2:$H$333,VARIAN_STOK!$D$2:$D$333,$A128)</x:f>
        <x:v>199000</x:v>
      </x:c>
      <x:c r="K128" s="90" t="n">
        <x:f>SUMIF(VARIAN_STOK!$D$2:$D$333,$A128,VARIAN_STOK!$I$2:$I$333)</x:f>
        <x:v>1</x:v>
      </x:c>
      <x:c r="L128" s="90" t="n">
        <x:f>COUNTIF(VARIAN_STOK!$D$2:$D$333,$A128)</x:f>
        <x:v>1</x:v>
      </x:c>
      <x:c r="M128" s="69" t="str">
        <x:v>Cream Sage</x:v>
      </x:c>
      <x:c r="N128" s="69" t="str"/>
      <x:c r="O128" s="69" t="str"/>
      <x:c r="P128" s="69" t="str"/>
      <x:c r="Q128" s="69" t="str"/>
      <x:c r="R128" s="69" t="str"/>
      <x:c r="S128" s="69" t="str"/>
      <x:c r="T128" s="69" t="str"/>
      <x:c r="U128" s="69" t="str">
        <x:v>Tidak</x:v>
      </x:c>
      <x:c r="V128" s="69" t="str">
        <x:v>Tidak</x:v>
      </x:c>
      <x:c r="W128" s="69" t="str">
        <x:v>Aktif</x:v>
      </x:c>
      <x:c r="X128" s="70" t="str"/>
    </x:row>
    <x:row r="129">
      <x:c r="A129" s="96" t="str">
        <x:v>PRD0128</x:v>
      </x:c>
      <x:c r="B129" s="69" t="str">
        <x:v>no-brand-livia-high-neck-top</x:v>
      </x:c>
      <x:c r="C129" s="102" t="n">
        <x:v>12</x:v>
      </x:c>
      <x:c r="D129" s="108" t="str">
        <x:v>NO BRAND</x:v>
      </x:c>
      <x:c r="E129" s="69" t="str">
        <x:v>Livia High Neck Top</x:v>
      </x:c>
      <x:c r="F129" s="69" t="str">
        <x:v>Shirt</x:v>
      </x:c>
      <x:c r="G129" s="69" t="str">
        <x:v>Dewasa</x:v>
      </x:c>
      <x:c r="H129" s="69" t="str">
        <x:v>Baru</x:v>
      </x:c>
      <x:c r="I129" s="84" t="n">
        <x:f>MINIFS(VARIAN_STOK!$H$2:$H$333,VARIAN_STOK!$D$2:$D$333,$A129)</x:f>
        <x:v>379000</x:v>
      </x:c>
      <x:c r="J129" s="84" t="n">
        <x:f>MAXIFS(VARIAN_STOK!$H$2:$H$333,VARIAN_STOK!$D$2:$D$333,$A129)</x:f>
        <x:v>379000</x:v>
      </x:c>
      <x:c r="K129" s="90" t="n">
        <x:f>SUMIF(VARIAN_STOK!$D$2:$D$333,$A129,VARIAN_STOK!$I$2:$I$333)</x:f>
        <x:v>3</x:v>
      </x:c>
      <x:c r="L129" s="90" t="n">
        <x:f>COUNTIF(VARIAN_STOK!$D$2:$D$333,$A129)</x:f>
        <x:v>3</x:v>
      </x:c>
      <x:c r="M129" s="69" t="str">
        <x:v>Black, Dark Brown</x:v>
      </x:c>
      <x:c r="N129" s="69" t="str">
        <x:v>LXL, SM</x:v>
      </x:c>
      <x:c r="O129" s="69" t="str"/>
      <x:c r="P129" s="69" t="str"/>
      <x:c r="Q129" s="69" t="str"/>
      <x:c r="R129" s="69" t="str"/>
      <x:c r="S129" s="69" t="str"/>
      <x:c r="T129" s="69" t="str"/>
      <x:c r="U129" s="69" t="str">
        <x:v>Tidak</x:v>
      </x:c>
      <x:c r="V129" s="69" t="str">
        <x:v>Tidak</x:v>
      </x:c>
      <x:c r="W129" s="69" t="str">
        <x:v>Aktif</x:v>
      </x:c>
      <x:c r="X129" s="70" t="str"/>
    </x:row>
    <x:row r="130">
      <x:c r="A130" s="96" t="str">
        <x:v>PRD0129</x:v>
      </x:c>
      <x:c r="B130" s="69" t="str">
        <x:v>no-brand-polka-shirt</x:v>
      </x:c>
      <x:c r="C130" s="102" t="n">
        <x:v>12</x:v>
      </x:c>
      <x:c r="D130" s="108" t="str">
        <x:v>NO BRAND</x:v>
      </x:c>
      <x:c r="E130" s="69" t="str">
        <x:v>Polka Shirt</x:v>
      </x:c>
      <x:c r="F130" s="69" t="str">
        <x:v>Shirt</x:v>
      </x:c>
      <x:c r="G130" s="69" t="str">
        <x:v>Dewasa</x:v>
      </x:c>
      <x:c r="H130" s="69" t="str">
        <x:v>Baru</x:v>
      </x:c>
      <x:c r="I130" s="84" t="n">
        <x:f>MINIFS(VARIAN_STOK!$H$2:$H$333,VARIAN_STOK!$D$2:$D$333,$A130)</x:f>
        <x:v>299000</x:v>
      </x:c>
      <x:c r="J130" s="84" t="n">
        <x:f>MAXIFS(VARIAN_STOK!$H$2:$H$333,VARIAN_STOK!$D$2:$D$333,$A130)</x:f>
        <x:v>299000</x:v>
      </x:c>
      <x:c r="K130" s="90" t="n">
        <x:f>SUMIF(VARIAN_STOK!$D$2:$D$333,$A130,VARIAN_STOK!$I$2:$I$333)</x:f>
        <x:v>3</x:v>
      </x:c>
      <x:c r="L130" s="90" t="n">
        <x:f>COUNTIF(VARIAN_STOK!$D$2:$D$333,$A130)</x:f>
        <x:v>2</x:v>
      </x:c>
      <x:c r="M130" s="69" t="str">
        <x:v>Black, Broken White</x:v>
      </x:c>
      <x:c r="N130" s="69" t="str"/>
      <x:c r="O130" s="69" t="str"/>
      <x:c r="P130" s="69" t="str"/>
      <x:c r="Q130" s="69" t="str"/>
      <x:c r="R130" s="69" t="str"/>
      <x:c r="S130" s="69" t="str"/>
      <x:c r="T130" s="69" t="str"/>
      <x:c r="U130" s="69" t="str">
        <x:v>Tidak</x:v>
      </x:c>
      <x:c r="V130" s="69" t="str">
        <x:v>Tidak</x:v>
      </x:c>
      <x:c r="W130" s="69" t="str">
        <x:v>Aktif</x:v>
      </x:c>
      <x:c r="X130" s="70" t="str"/>
    </x:row>
    <x:row r="131">
      <x:c r="A131" s="96" t="str">
        <x:v>PRD0130</x:v>
      </x:c>
      <x:c r="B131" s="69" t="str">
        <x:v>nisa-jihan-outer</x:v>
      </x:c>
      <x:c r="C131" s="102" t="n">
        <x:v>14</x:v>
      </x:c>
      <x:c r="D131" s="108" t="str">
        <x:v>NISA</x:v>
      </x:c>
      <x:c r="E131" s="69" t="str">
        <x:v>Jihan Outer</x:v>
      </x:c>
      <x:c r="F131" s="69" t="str">
        <x:v>Outer</x:v>
      </x:c>
      <x:c r="G131" s="69" t="str">
        <x:v>Dewasa</x:v>
      </x:c>
      <x:c r="H131" s="69" t="str">
        <x:v>Baru</x:v>
      </x:c>
      <x:c r="I131" s="84" t="n">
        <x:f>MINIFS(VARIAN_STOK!$H$2:$H$333,VARIAN_STOK!$D$2:$D$333,$A131)</x:f>
        <x:v>229000</x:v>
      </x:c>
      <x:c r="J131" s="84" t="n">
        <x:f>MAXIFS(VARIAN_STOK!$H$2:$H$333,VARIAN_STOK!$D$2:$D$333,$A131)</x:f>
        <x:v>229000</x:v>
      </x:c>
      <x:c r="K131" s="90" t="n">
        <x:f>SUMIF(VARIAN_STOK!$D$2:$D$333,$A131,VARIAN_STOK!$I$2:$I$333)</x:f>
        <x:v>2</x:v>
      </x:c>
      <x:c r="L131" s="90" t="n">
        <x:f>COUNTIF(VARIAN_STOK!$D$2:$D$333,$A131)</x:f>
        <x:v>1</x:v>
      </x:c>
      <x:c r="M131" s="69" t="str">
        <x:v>Mauve</x:v>
      </x:c>
      <x:c r="N131" s="69" t="str"/>
      <x:c r="O131" s="69" t="str"/>
      <x:c r="P131" s="69" t="str"/>
      <x:c r="Q131" s="69" t="str"/>
      <x:c r="R131" s="69" t="str"/>
      <x:c r="S131" s="69" t="str"/>
      <x:c r="T131" s="69" t="str"/>
      <x:c r="U131" s="69" t="str">
        <x:v>Tidak</x:v>
      </x:c>
      <x:c r="V131" s="69" t="str">
        <x:v>Tidak</x:v>
      </x:c>
      <x:c r="W131" s="69" t="str">
        <x:v>Aktif</x:v>
      </x:c>
      <x:c r="X131" s="70" t="str"/>
    </x:row>
    <x:row r="132">
      <x:c r="A132" s="96" t="str">
        <x:v>PRD0131</x:v>
      </x:c>
      <x:c r="B132" s="69" t="str">
        <x:v>nisa-lesty-kaftan</x:v>
      </x:c>
      <x:c r="C132" s="102" t="n">
        <x:v>14</x:v>
      </x:c>
      <x:c r="D132" s="108" t="str">
        <x:v>NISA</x:v>
      </x:c>
      <x:c r="E132" s="69" t="str">
        <x:v>Lesty Kaftan</x:v>
      </x:c>
      <x:c r="F132" s="69" t="str">
        <x:v>Shirt</x:v>
      </x:c>
      <x:c r="G132" s="69" t="str">
        <x:v>Dewasa</x:v>
      </x:c>
      <x:c r="H132" s="69" t="str">
        <x:v>Baru</x:v>
      </x:c>
      <x:c r="I132" s="84" t="n">
        <x:f>MINIFS(VARIAN_STOK!$H$2:$H$333,VARIAN_STOK!$D$2:$D$333,$A132)</x:f>
        <x:v>229000</x:v>
      </x:c>
      <x:c r="J132" s="84" t="n">
        <x:f>MAXIFS(VARIAN_STOK!$H$2:$H$333,VARIAN_STOK!$D$2:$D$333,$A132)</x:f>
        <x:v>229000</x:v>
      </x:c>
      <x:c r="K132" s="90" t="n">
        <x:f>SUMIF(VARIAN_STOK!$D$2:$D$333,$A132,VARIAN_STOK!$I$2:$I$333)</x:f>
        <x:v>1</x:v>
      </x:c>
      <x:c r="L132" s="90" t="n">
        <x:f>COUNTIF(VARIAN_STOK!$D$2:$D$333,$A132)</x:f>
        <x:v>1</x:v>
      </x:c>
      <x:c r="M132" s="69" t="str">
        <x:v>Mocca</x:v>
      </x:c>
      <x:c r="N132" s="69" t="str"/>
      <x:c r="O132" s="69" t="str"/>
      <x:c r="P132" s="69" t="str"/>
      <x:c r="Q132" s="69" t="str"/>
      <x:c r="R132" s="69" t="str"/>
      <x:c r="S132" s="69" t="str"/>
      <x:c r="T132" s="69" t="str"/>
      <x:c r="U132" s="69" t="str">
        <x:v>Tidak</x:v>
      </x:c>
      <x:c r="V132" s="69" t="str">
        <x:v>Tidak</x:v>
      </x:c>
      <x:c r="W132" s="69" t="str">
        <x:v>Aktif</x:v>
      </x:c>
      <x:c r="X132" s="70" t="str"/>
    </x:row>
    <x:row r="133">
      <x:c r="A133" s="96" t="str">
        <x:v>PRD0132</x:v>
      </x:c>
      <x:c r="B133" s="69" t="str">
        <x:v>anindyascarf-alesha-dress</x:v>
      </x:c>
      <x:c r="C133" s="102" t="n">
        <x:v>15</x:v>
      </x:c>
      <x:c r="D133" s="108" t="str">
        <x:v>ANINDYASCARF</x:v>
      </x:c>
      <x:c r="E133" s="69" t="str">
        <x:v>Alesha Dress</x:v>
      </x:c>
      <x:c r="F133" s="69" t="str">
        <x:v>Dress</x:v>
      </x:c>
      <x:c r="G133" s="69" t="str">
        <x:v>Dewasa</x:v>
      </x:c>
      <x:c r="H133" s="69" t="str">
        <x:v>Baru</x:v>
      </x:c>
      <x:c r="I133" s="84" t="n">
        <x:f>MINIFS(VARIAN_STOK!$H$2:$H$333,VARIAN_STOK!$D$2:$D$333,$A133)</x:f>
        <x:v>595000</x:v>
      </x:c>
      <x:c r="J133" s="84" t="n">
        <x:f>MAXIFS(VARIAN_STOK!$H$2:$H$333,VARIAN_STOK!$D$2:$D$333,$A133)</x:f>
        <x:v>595000</x:v>
      </x:c>
      <x:c r="K133" s="90" t="n">
        <x:f>SUMIF(VARIAN_STOK!$D$2:$D$333,$A133,VARIAN_STOK!$I$2:$I$333)</x:f>
        <x:v>4</x:v>
      </x:c>
      <x:c r="L133" s="90" t="n">
        <x:f>COUNTIF(VARIAN_STOK!$D$2:$D$333,$A133)</x:f>
        <x:v>4</x:v>
      </x:c>
      <x:c r="M133" s="69" t="str">
        <x:v>Peach Blue, Pink Grey</x:v>
      </x:c>
      <x:c r="N133" s="69" t="str">
        <x:v>L, XL, XXL</x:v>
      </x:c>
      <x:c r="O133" s="69" t="str"/>
      <x:c r="P133" s="69" t="str"/>
      <x:c r="Q133" s="69" t="str"/>
      <x:c r="R133" s="69" t="str"/>
      <x:c r="S133" s="69" t="str"/>
      <x:c r="T133" s="69" t="str"/>
      <x:c r="U133" s="69" t="str">
        <x:v>Tidak</x:v>
      </x:c>
      <x:c r="V133" s="69" t="str">
        <x:v>Tidak</x:v>
      </x:c>
      <x:c r="W133" s="69" t="str">
        <x:v>Aktif</x:v>
      </x:c>
      <x:c r="X133" s="70" t="str"/>
    </x:row>
    <x:row r="134">
      <x:c r="A134" s="96" t="str">
        <x:v>PRD0133</x:v>
      </x:c>
      <x:c r="B134" s="69" t="str">
        <x:v>anindyascarf-fayla-dress</x:v>
      </x:c>
      <x:c r="C134" s="102" t="n">
        <x:v>15</x:v>
      </x:c>
      <x:c r="D134" s="108" t="str">
        <x:v>ANINDYASCARF</x:v>
      </x:c>
      <x:c r="E134" s="69" t="str">
        <x:v>Fayla Dress</x:v>
      </x:c>
      <x:c r="F134" s="69" t="str">
        <x:v>Dress</x:v>
      </x:c>
      <x:c r="G134" s="69" t="str">
        <x:v>Dewasa</x:v>
      </x:c>
      <x:c r="H134" s="69" t="str">
        <x:v>Baru</x:v>
      </x:c>
      <x:c r="I134" s="84" t="n">
        <x:f>MINIFS(VARIAN_STOK!$H$2:$H$333,VARIAN_STOK!$D$2:$D$333,$A134)</x:f>
        <x:v>575000</x:v>
      </x:c>
      <x:c r="J134" s="84" t="n">
        <x:f>MAXIFS(VARIAN_STOK!$H$2:$H$333,VARIAN_STOK!$D$2:$D$333,$A134)</x:f>
        <x:v>575000</x:v>
      </x:c>
      <x:c r="K134" s="90" t="n">
        <x:f>SUMIF(VARIAN_STOK!$D$2:$D$333,$A134,VARIAN_STOK!$I$2:$I$333)</x:f>
        <x:v>7</x:v>
      </x:c>
      <x:c r="L134" s="90" t="n">
        <x:f>COUNTIF(VARIAN_STOK!$D$2:$D$333,$A134)</x:f>
        <x:v>5</x:v>
      </x:c>
      <x:c r="M134" s="69" t="str">
        <x:v>Pink, Purple</x:v>
      </x:c>
      <x:c r="N134" s="69" t="str">
        <x:v>L, M, S</x:v>
      </x:c>
      <x:c r="O134" s="69" t="str"/>
      <x:c r="P134" s="69" t="str"/>
      <x:c r="Q134" s="69" t="str"/>
      <x:c r="R134" s="69" t="str"/>
      <x:c r="S134" s="69" t="str"/>
      <x:c r="T134" s="69" t="str"/>
      <x:c r="U134" s="69" t="str">
        <x:v>Tidak</x:v>
      </x:c>
      <x:c r="V134" s="69" t="str">
        <x:v>Tidak</x:v>
      </x:c>
      <x:c r="W134" s="69" t="str">
        <x:v>Aktif</x:v>
      </x:c>
      <x:c r="X134" s="70" t="str"/>
    </x:row>
    <x:row r="135">
      <x:c r="A135" s="96" t="str">
        <x:v>PRD0134</x:v>
      </x:c>
      <x:c r="B135" s="69" t="str">
        <x:v>anindyascarf-ishwari-dress-anak</x:v>
      </x:c>
      <x:c r="C135" s="102" t="n">
        <x:v>15</x:v>
      </x:c>
      <x:c r="D135" s="108" t="str">
        <x:v>ANINDYASCARF</x:v>
      </x:c>
      <x:c r="E135" s="69" t="str">
        <x:v>Ishwari Dress Anak</x:v>
      </x:c>
      <x:c r="F135" s="69" t="str">
        <x:v>Dress</x:v>
      </x:c>
      <x:c r="G135" s="69" t="str">
        <x:v>Anak</x:v>
      </x:c>
      <x:c r="H135" s="69" t="str">
        <x:v>Baru</x:v>
      </x:c>
      <x:c r="I135" s="84" t="n">
        <x:f>MINIFS(VARIAN_STOK!$H$2:$H$333,VARIAN_STOK!$D$2:$D$333,$A135)</x:f>
        <x:v>395000</x:v>
      </x:c>
      <x:c r="J135" s="84" t="n">
        <x:f>MAXIFS(VARIAN_STOK!$H$2:$H$333,VARIAN_STOK!$D$2:$D$333,$A135)</x:f>
        <x:v>395000</x:v>
      </x:c>
      <x:c r="K135" s="90" t="n">
        <x:f>SUMIF(VARIAN_STOK!$D$2:$D$333,$A135,VARIAN_STOK!$I$2:$I$333)</x:f>
        <x:v>1</x:v>
      </x:c>
      <x:c r="L135" s="90" t="n">
        <x:f>COUNTIF(VARIAN_STOK!$D$2:$D$333,$A135)</x:f>
        <x:v>1</x:v>
      </x:c>
      <x:c r="M135" s="69" t="str">
        <x:v>Brown</x:v>
      </x:c>
      <x:c r="N135" s="69" t="str">
        <x:v>4y</x:v>
      </x:c>
      <x:c r="O135" s="69" t="str"/>
      <x:c r="P135" s="69" t="str"/>
      <x:c r="Q135" s="69" t="str"/>
      <x:c r="R135" s="69" t="str"/>
      <x:c r="S135" s="69" t="str"/>
      <x:c r="T135" s="69" t="str"/>
      <x:c r="U135" s="69" t="str">
        <x:v>Tidak</x:v>
      </x:c>
      <x:c r="V135" s="69" t="str">
        <x:v>Tidak</x:v>
      </x:c>
      <x:c r="W135" s="69" t="str">
        <x:v>Aktif</x:v>
      </x:c>
      <x:c r="X135" s="70" t="str"/>
    </x:row>
    <x:row r="136">
      <x:c r="A136" s="96" t="str">
        <x:v>PRD0135</x:v>
      </x:c>
      <x:c r="B136" s="69" t="str">
        <x:v>anindyascarf-kayla-dress</x:v>
      </x:c>
      <x:c r="C136" s="102" t="n">
        <x:v>15</x:v>
      </x:c>
      <x:c r="D136" s="108" t="str">
        <x:v>ANINDYASCARF</x:v>
      </x:c>
      <x:c r="E136" s="69" t="str">
        <x:v>Kayla Dress</x:v>
      </x:c>
      <x:c r="F136" s="69" t="str">
        <x:v>Dress</x:v>
      </x:c>
      <x:c r="G136" s="69" t="str">
        <x:v>Dewasa</x:v>
      </x:c>
      <x:c r="H136" s="69" t="str">
        <x:v>Baru</x:v>
      </x:c>
      <x:c r="I136" s="84" t="n">
        <x:f>MINIFS(VARIAN_STOK!$H$2:$H$333,VARIAN_STOK!$D$2:$D$333,$A136)</x:f>
        <x:v>585000</x:v>
      </x:c>
      <x:c r="J136" s="84" t="n">
        <x:f>MAXIFS(VARIAN_STOK!$H$2:$H$333,VARIAN_STOK!$D$2:$D$333,$A136)</x:f>
        <x:v>585000</x:v>
      </x:c>
      <x:c r="K136" s="90" t="n">
        <x:f>SUMIF(VARIAN_STOK!$D$2:$D$333,$A136,VARIAN_STOK!$I$2:$I$333)</x:f>
        <x:v>1</x:v>
      </x:c>
      <x:c r="L136" s="90" t="n">
        <x:f>COUNTIF(VARIAN_STOK!$D$2:$D$333,$A136)</x:f>
        <x:v>1</x:v>
      </x:c>
      <x:c r="M136" s="69" t="str">
        <x:v>Maroon</x:v>
      </x:c>
      <x:c r="N136" s="69" t="str">
        <x:v>XL</x:v>
      </x:c>
      <x:c r="O136" s="69" t="str"/>
      <x:c r="P136" s="69" t="str"/>
      <x:c r="Q136" s="69" t="str"/>
      <x:c r="R136" s="69" t="str"/>
      <x:c r="S136" s="69" t="str"/>
      <x:c r="T136" s="69" t="str"/>
      <x:c r="U136" s="69" t="str">
        <x:v>Tidak</x:v>
      </x:c>
      <x:c r="V136" s="69" t="str">
        <x:v>Tidak</x:v>
      </x:c>
      <x:c r="W136" s="69" t="str">
        <x:v>Aktif</x:v>
      </x:c>
      <x:c r="X136" s="70" t="str"/>
    </x:row>
    <x:row r="137">
      <x:c r="A137" s="96" t="str">
        <x:v>PRD0136</x:v>
      </x:c>
      <x:c r="B137" s="69" t="str">
        <x:v>anindyascarf-rafea-dress</x:v>
      </x:c>
      <x:c r="C137" s="102" t="n">
        <x:v>15</x:v>
      </x:c>
      <x:c r="D137" s="108" t="str">
        <x:v>ANINDYASCARF</x:v>
      </x:c>
      <x:c r="E137" s="69" t="str">
        <x:v>Rafea Dress</x:v>
      </x:c>
      <x:c r="F137" s="69" t="str">
        <x:v>Dress</x:v>
      </x:c>
      <x:c r="G137" s="69" t="str">
        <x:v>Dewasa</x:v>
      </x:c>
      <x:c r="H137" s="69" t="str">
        <x:v>Baru</x:v>
      </x:c>
      <x:c r="I137" s="84" t="n">
        <x:f>MINIFS(VARIAN_STOK!$H$2:$H$333,VARIAN_STOK!$D$2:$D$333,$A137)</x:f>
        <x:v>595000</x:v>
      </x:c>
      <x:c r="J137" s="84" t="n">
        <x:f>MAXIFS(VARIAN_STOK!$H$2:$H$333,VARIAN_STOK!$D$2:$D$333,$A137)</x:f>
        <x:v>595000</x:v>
      </x:c>
      <x:c r="K137" s="90" t="n">
        <x:f>SUMIF(VARIAN_STOK!$D$2:$D$333,$A137,VARIAN_STOK!$I$2:$I$333)</x:f>
        <x:v>8</x:v>
      </x:c>
      <x:c r="L137" s="90" t="n">
        <x:f>COUNTIF(VARIAN_STOK!$D$2:$D$333,$A137)</x:f>
        <x:v>8</x:v>
      </x:c>
      <x:c r="M137" s="69" t="str">
        <x:v>Blue Grey, BW Pink, Purple</x:v>
      </x:c>
      <x:c r="N137" s="69" t="str">
        <x:v>L, M, XL</x:v>
      </x:c>
      <x:c r="O137" s="69" t="str"/>
      <x:c r="P137" s="69" t="str"/>
      <x:c r="Q137" s="69" t="str"/>
      <x:c r="R137" s="69" t="str"/>
      <x:c r="S137" s="69" t="str"/>
      <x:c r="T137" s="69" t="str"/>
      <x:c r="U137" s="69" t="str">
        <x:v>Tidak</x:v>
      </x:c>
      <x:c r="V137" s="69" t="str">
        <x:v>Tidak</x:v>
      </x:c>
      <x:c r="W137" s="69" t="str">
        <x:v>Aktif</x:v>
      </x:c>
      <x:c r="X137" s="70" t="str"/>
    </x:row>
    <x:row r="138">
      <x:c r="A138" s="96" t="str">
        <x:v>PRD0137</x:v>
      </x:c>
      <x:c r="B138" s="69" t="str">
        <x:v>anindyascarf-ranjana-dress-anak</x:v>
      </x:c>
      <x:c r="C138" s="102" t="n">
        <x:v>15</x:v>
      </x:c>
      <x:c r="D138" s="108" t="str">
        <x:v>ANINDYASCARF</x:v>
      </x:c>
      <x:c r="E138" s="69" t="str">
        <x:v>Ranjana Dress Anak</x:v>
      </x:c>
      <x:c r="F138" s="69" t="str">
        <x:v>Dress</x:v>
      </x:c>
      <x:c r="G138" s="69" t="str">
        <x:v>Anak</x:v>
      </x:c>
      <x:c r="H138" s="69" t="str">
        <x:v>Baru</x:v>
      </x:c>
      <x:c r="I138" s="84" t="n">
        <x:f>MINIFS(VARIAN_STOK!$H$2:$H$333,VARIAN_STOK!$D$2:$D$333,$A138)</x:f>
        <x:v>395000</x:v>
      </x:c>
      <x:c r="J138" s="84" t="n">
        <x:f>MAXIFS(VARIAN_STOK!$H$2:$H$333,VARIAN_STOK!$D$2:$D$333,$A138)</x:f>
        <x:v>445000</x:v>
      </x:c>
      <x:c r="K138" s="90" t="n">
        <x:f>SUMIF(VARIAN_STOK!$D$2:$D$333,$A138,VARIAN_STOK!$I$2:$I$333)</x:f>
        <x:v>2</x:v>
      </x:c>
      <x:c r="L138" s="90" t="n">
        <x:f>COUNTIF(VARIAN_STOK!$D$2:$D$333,$A138)</x:f>
        <x:v>2</x:v>
      </x:c>
      <x:c r="M138" s="69" t="str">
        <x:v>Woodsmoke</x:v>
      </x:c>
      <x:c r="N138" s="69" t="str">
        <x:v>6y, 8y</x:v>
      </x:c>
      <x:c r="O138" s="69" t="str"/>
      <x:c r="P138" s="69" t="str"/>
      <x:c r="Q138" s="69" t="str"/>
      <x:c r="R138" s="69" t="str"/>
      <x:c r="S138" s="69" t="str"/>
      <x:c r="T138" s="69" t="str"/>
      <x:c r="U138" s="69" t="str">
        <x:v>Tidak</x:v>
      </x:c>
      <x:c r="V138" s="69" t="str">
        <x:v>Tidak</x:v>
      </x:c>
      <x:c r="W138" s="69" t="str">
        <x:v>Aktif</x:v>
      </x:c>
      <x:c r="X138" s="70" t="str"/>
    </x:row>
    <x:row r="139">
      <x:c r="A139" s="96" t="str">
        <x:v>PRD0138</x:v>
      </x:c>
      <x:c r="B139" s="69" t="str">
        <x:v>anindyascarf-ishwari-koko-anak</x:v>
      </x:c>
      <x:c r="C139" s="102" t="n">
        <x:v>15</x:v>
      </x:c>
      <x:c r="D139" s="108" t="str">
        <x:v>ANINDYASCARF</x:v>
      </x:c>
      <x:c r="E139" s="69" t="str">
        <x:v>Ishwari Koko Anak</x:v>
      </x:c>
      <x:c r="F139" s="69" t="str">
        <x:v>Shirt</x:v>
      </x:c>
      <x:c r="G139" s="69" t="str">
        <x:v>Anak</x:v>
      </x:c>
      <x:c r="H139" s="69" t="str">
        <x:v>Baru</x:v>
      </x:c>
      <x:c r="I139" s="84" t="n">
        <x:f>MINIFS(VARIAN_STOK!$H$2:$H$333,VARIAN_STOK!$D$2:$D$333,$A139)</x:f>
        <x:v>245000</x:v>
      </x:c>
      <x:c r="J139" s="84" t="n">
        <x:f>MAXIFS(VARIAN_STOK!$H$2:$H$333,VARIAN_STOK!$D$2:$D$333,$A139)</x:f>
        <x:v>245000</x:v>
      </x:c>
      <x:c r="K139" s="90" t="n">
        <x:f>SUMIF(VARIAN_STOK!$D$2:$D$333,$A139,VARIAN_STOK!$I$2:$I$333)</x:f>
        <x:v>4</x:v>
      </x:c>
      <x:c r="L139" s="90" t="n">
        <x:f>COUNTIF(VARIAN_STOK!$D$2:$D$333,$A139)</x:f>
        <x:v>4</x:v>
      </x:c>
      <x:c r="M139" s="69" t="str">
        <x:v>Black, Brown, Off White</x:v>
      </x:c>
      <x:c r="N139" s="69" t="str">
        <x:v>L, XL</x:v>
      </x:c>
      <x:c r="O139" s="69" t="str"/>
      <x:c r="P139" s="69" t="str"/>
      <x:c r="Q139" s="69" t="str"/>
      <x:c r="R139" s="69" t="str"/>
      <x:c r="S139" s="69" t="str"/>
      <x:c r="T139" s="69" t="str"/>
      <x:c r="U139" s="69" t="str">
        <x:v>Tidak</x:v>
      </x:c>
      <x:c r="V139" s="69" t="str">
        <x:v>Tidak</x:v>
      </x:c>
      <x:c r="W139" s="69" t="str">
        <x:v>Aktif</x:v>
      </x:c>
      <x:c r="X139" s="70" t="str"/>
    </x:row>
    <x:row r="140">
      <x:c r="A140" s="96" t="str">
        <x:v>PRD0139</x:v>
      </x:c>
      <x:c r="B140" s="69" t="str">
        <x:v>anindyascarf-ranjana-koko-anak</x:v>
      </x:c>
      <x:c r="C140" s="102" t="n">
        <x:v>15</x:v>
      </x:c>
      <x:c r="D140" s="108" t="str">
        <x:v>ANINDYASCARF</x:v>
      </x:c>
      <x:c r="E140" s="69" t="str">
        <x:v>Ranjana Koko Anak</x:v>
      </x:c>
      <x:c r="F140" s="69" t="str">
        <x:v>Shirt</x:v>
      </x:c>
      <x:c r="G140" s="69" t="str">
        <x:v>Anak</x:v>
      </x:c>
      <x:c r="H140" s="69" t="str">
        <x:v>Baru</x:v>
      </x:c>
      <x:c r="I140" s="84" t="n">
        <x:f>MINIFS(VARIAN_STOK!$H$2:$H$333,VARIAN_STOK!$D$2:$D$333,$A140)</x:f>
        <x:v>245000</x:v>
      </x:c>
      <x:c r="J140" s="84" t="n">
        <x:f>MAXIFS(VARIAN_STOK!$H$2:$H$333,VARIAN_STOK!$D$2:$D$333,$A140)</x:f>
        <x:v>245000</x:v>
      </x:c>
      <x:c r="K140" s="90" t="n">
        <x:f>SUMIF(VARIAN_STOK!$D$2:$D$333,$A140,VARIAN_STOK!$I$2:$I$333)</x:f>
        <x:v>1</x:v>
      </x:c>
      <x:c r="L140" s="90" t="n">
        <x:f>COUNTIF(VARIAN_STOK!$D$2:$D$333,$A140)</x:f>
        <x:v>1</x:v>
      </x:c>
      <x:c r="M140" s="69" t="str">
        <x:v>Woodsmoke</x:v>
      </x:c>
      <x:c r="N140" s="69" t="str">
        <x:v>L</x:v>
      </x:c>
      <x:c r="O140" s="69" t="str"/>
      <x:c r="P140" s="69" t="str"/>
      <x:c r="Q140" s="69" t="str"/>
      <x:c r="R140" s="69" t="str"/>
      <x:c r="S140" s="69" t="str"/>
      <x:c r="T140" s="69" t="str"/>
      <x:c r="U140" s="69" t="str">
        <x:v>Tidak</x:v>
      </x:c>
      <x:c r="V140" s="69" t="str">
        <x:v>Tidak</x:v>
      </x:c>
      <x:c r="W140" s="69" t="str">
        <x:v>Aktif</x:v>
      </x:c>
      <x:c r="X140" s="70" t="str"/>
    </x:row>
    <x:row r="141">
      <x:c r="A141" s="96" t="str">
        <x:v>PRD0140</x:v>
      </x:c>
      <x:c r="B141" s="69" t="str">
        <x:v>anindyascarf-syauqi-koko-anak</x:v>
      </x:c>
      <x:c r="C141" s="102" t="n">
        <x:v>15</x:v>
      </x:c>
      <x:c r="D141" s="108" t="str">
        <x:v>ANINDYASCARF</x:v>
      </x:c>
      <x:c r="E141" s="69" t="str">
        <x:v>Syauqi Koko Anak</x:v>
      </x:c>
      <x:c r="F141" s="69" t="str">
        <x:v>Shirt</x:v>
      </x:c>
      <x:c r="G141" s="69" t="str">
        <x:v>Anak</x:v>
      </x:c>
      <x:c r="H141" s="69" t="str">
        <x:v>Baru</x:v>
      </x:c>
      <x:c r="I141" s="84" t="n">
        <x:f>MINIFS(VARIAN_STOK!$H$2:$H$333,VARIAN_STOK!$D$2:$D$333,$A141)</x:f>
        <x:v>235000</x:v>
      </x:c>
      <x:c r="J141" s="84" t="n">
        <x:f>MAXIFS(VARIAN_STOK!$H$2:$H$333,VARIAN_STOK!$D$2:$D$333,$A141)</x:f>
        <x:v>235000</x:v>
      </x:c>
      <x:c r="K141" s="90" t="n">
        <x:f>SUMIF(VARIAN_STOK!$D$2:$D$333,$A141,VARIAN_STOK!$I$2:$I$333)</x:f>
        <x:v>14</x:v>
      </x:c>
      <x:c r="L141" s="90" t="n">
        <x:f>COUNTIF(VARIAN_STOK!$D$2:$D$333,$A141)</x:f>
        <x:v>14</x:v>
      </x:c>
      <x:c r="M141" s="69" t="str">
        <x:v>Black, Grey, Mocca, Purple</x:v>
      </x:c>
      <x:c r="N141" s="69" t="str">
        <x:v>L, M, S, XL</x:v>
      </x:c>
      <x:c r="O141" s="69" t="str"/>
      <x:c r="P141" s="69" t="str"/>
      <x:c r="Q141" s="69" t="str"/>
      <x:c r="R141" s="69" t="str"/>
      <x:c r="S141" s="69" t="str"/>
      <x:c r="T141" s="69" t="str"/>
      <x:c r="U141" s="69" t="str">
        <x:v>Tidak</x:v>
      </x:c>
      <x:c r="V141" s="69" t="str">
        <x:v>Tidak</x:v>
      </x:c>
      <x:c r="W141" s="69" t="str">
        <x:v>Aktif</x:v>
      </x:c>
      <x:c r="X141" s="70" t="str"/>
    </x:row>
    <x:row r="142">
      <x:c r="A142" s="96" t="str">
        <x:v>PRD0141</x:v>
      </x:c>
      <x:c r="B142" s="69" t="str">
        <x:v>wmd-lou-instant-hijab-sleek</x:v>
      </x:c>
      <x:c r="C142" s="102" t="n">
        <x:v>17</x:v>
      </x:c>
      <x:c r="D142" s="108" t="str">
        <x:v>WMD</x:v>
      </x:c>
      <x:c r="E142" s="69" t="str">
        <x:v>Lou Instant Hijab (Sleek)</x:v>
      </x:c>
      <x:c r="F142" s="69" t="str">
        <x:v>Hijab</x:v>
      </x:c>
      <x:c r="G142" s="69" t="str">
        <x:v>Dewasa</x:v>
      </x:c>
      <x:c r="H142" s="69" t="str">
        <x:v>Baru</x:v>
      </x:c>
      <x:c r="I142" s="84" t="n">
        <x:f>MINIFS(VARIAN_STOK!$H$2:$H$333,VARIAN_STOK!$D$2:$D$333,$A142)</x:f>
        <x:v>99000</x:v>
      </x:c>
      <x:c r="J142" s="84" t="n">
        <x:f>MAXIFS(VARIAN_STOK!$H$2:$H$333,VARIAN_STOK!$D$2:$D$333,$A142)</x:f>
        <x:v>99000</x:v>
      </x:c>
      <x:c r="K142" s="90" t="n">
        <x:f>SUMIF(VARIAN_STOK!$D$2:$D$333,$A142,VARIAN_STOK!$I$2:$I$333)</x:f>
        <x:v>3</x:v>
      </x:c>
      <x:c r="L142" s="90" t="n">
        <x:f>COUNTIF(VARIAN_STOK!$D$2:$D$333,$A142)</x:f>
        <x:v>2</x:v>
      </x:c>
      <x:c r="M142" s="69" t="str">
        <x:v>Ash Violet, Choco Latte</x:v>
      </x:c>
      <x:c r="N142" s="69" t="str"/>
      <x:c r="O142" s="69" t="str"/>
      <x:c r="P142" s="69" t="str"/>
      <x:c r="Q142" s="69" t="str"/>
      <x:c r="R142" s="69" t="str"/>
      <x:c r="S142" s="69" t="str"/>
      <x:c r="T142" s="69" t="str"/>
      <x:c r="U142" s="69" t="str">
        <x:v>Tidak</x:v>
      </x:c>
      <x:c r="V142" s="69" t="str">
        <x:v>Tidak</x:v>
      </x:c>
      <x:c r="W142" s="69" t="str">
        <x:v>Aktif</x:v>
      </x:c>
      <x:c r="X142" s="70" t="str"/>
    </x:row>
    <x:row r="143">
      <x:c r="A143" s="96" t="str">
        <x:v>PRD0142</x:v>
      </x:c>
      <x:c r="B143" s="69" t="str">
        <x:v>wmd-lou-instant-hijab-wave</x:v>
      </x:c>
      <x:c r="C143" s="102" t="n">
        <x:v>17</x:v>
      </x:c>
      <x:c r="D143" s="108" t="str">
        <x:v>WMD</x:v>
      </x:c>
      <x:c r="E143" s="69" t="str">
        <x:v>Lou Instant Hijab (Wave)</x:v>
      </x:c>
      <x:c r="F143" s="69" t="str">
        <x:v>Hijab</x:v>
      </x:c>
      <x:c r="G143" s="69" t="str">
        <x:v>Dewasa</x:v>
      </x:c>
      <x:c r="H143" s="69" t="str">
        <x:v>Baru</x:v>
      </x:c>
      <x:c r="I143" s="84" t="n">
        <x:f>MINIFS(VARIAN_STOK!$H$2:$H$333,VARIAN_STOK!$D$2:$D$333,$A143)</x:f>
        <x:v>99000</x:v>
      </x:c>
      <x:c r="J143" s="84" t="n">
        <x:f>MAXIFS(VARIAN_STOK!$H$2:$H$333,VARIAN_STOK!$D$2:$D$333,$A143)</x:f>
        <x:v>99000</x:v>
      </x:c>
      <x:c r="K143" s="90" t="n">
        <x:f>SUMIF(VARIAN_STOK!$D$2:$D$333,$A143,VARIAN_STOK!$I$2:$I$333)</x:f>
        <x:v>1</x:v>
      </x:c>
      <x:c r="L143" s="90" t="n">
        <x:f>COUNTIF(VARIAN_STOK!$D$2:$D$333,$A143)</x:f>
        <x:v>1</x:v>
      </x:c>
      <x:c r="M143" s="69" t="str">
        <x:v>Ivory</x:v>
      </x:c>
      <x:c r="N143" s="69" t="str"/>
      <x:c r="O143" s="69" t="str"/>
      <x:c r="P143" s="69" t="str"/>
      <x:c r="Q143" s="69" t="str"/>
      <x:c r="R143" s="69" t="str"/>
      <x:c r="S143" s="69" t="str"/>
      <x:c r="T143" s="69" t="str"/>
      <x:c r="U143" s="69" t="str">
        <x:v>Tidak</x:v>
      </x:c>
      <x:c r="V143" s="69" t="str">
        <x:v>Tidak</x:v>
      </x:c>
      <x:c r="W143" s="69" t="str">
        <x:v>Aktif</x:v>
      </x:c>
      <x:c r="X143" s="70" t="str"/>
    </x:row>
    <x:row r="144">
      <x:c r="A144" s="96" t="str">
        <x:v>PRD0143</x:v>
      </x:c>
      <x:c r="B144" s="69" t="str">
        <x:v>wmd-paris-japan</x:v>
      </x:c>
      <x:c r="C144" s="102" t="n">
        <x:v>17</x:v>
      </x:c>
      <x:c r="D144" s="108" t="str">
        <x:v>WMD</x:v>
      </x:c>
      <x:c r="E144" s="69" t="str">
        <x:v>Paris Japan</x:v>
      </x:c>
      <x:c r="F144" s="69" t="str">
        <x:v>Hijab</x:v>
      </x:c>
      <x:c r="G144" s="69" t="str">
        <x:v>Dewasa</x:v>
      </x:c>
      <x:c r="H144" s="69" t="str">
        <x:v>Baru</x:v>
      </x:c>
      <x:c r="I144" s="84" t="n">
        <x:f>MINIFS(VARIAN_STOK!$H$2:$H$333,VARIAN_STOK!$D$2:$D$333,$A144)</x:f>
        <x:v>119000</x:v>
      </x:c>
      <x:c r="J144" s="84" t="n">
        <x:f>MAXIFS(VARIAN_STOK!$H$2:$H$333,VARIAN_STOK!$D$2:$D$333,$A144)</x:f>
        <x:v>119000</x:v>
      </x:c>
      <x:c r="K144" s="90" t="n">
        <x:f>SUMIF(VARIAN_STOK!$D$2:$D$333,$A144,VARIAN_STOK!$I$2:$I$333)</x:f>
        <x:v>1</x:v>
      </x:c>
      <x:c r="L144" s="90" t="n">
        <x:f>COUNTIF(VARIAN_STOK!$D$2:$D$333,$A144)</x:f>
        <x:v>1</x:v>
      </x:c>
      <x:c r="M144" s="69" t="str">
        <x:v>Salmon</x:v>
      </x:c>
      <x:c r="N144" s="69" t="str"/>
      <x:c r="O144" s="69" t="str"/>
      <x:c r="P144" s="69" t="str"/>
      <x:c r="Q144" s="69" t="str"/>
      <x:c r="R144" s="69" t="str"/>
      <x:c r="S144" s="69" t="str"/>
      <x:c r="T144" s="69" t="str"/>
      <x:c r="U144" s="69" t="str">
        <x:v>Tidak</x:v>
      </x:c>
      <x:c r="V144" s="69" t="str">
        <x:v>Tidak</x:v>
      </x:c>
      <x:c r="W144" s="69" t="str">
        <x:v>Aktif</x:v>
      </x:c>
      <x:c r="X144" s="70" t="str"/>
    </x:row>
    <x:row r="145">
      <x:c r="A145" s="96" t="str">
        <x:v>PRD0144</x:v>
      </x:c>
      <x:c r="B145" s="69" t="str">
        <x:v>rafika-amabel-dress</x:v>
      </x:c>
      <x:c r="C145" s="102" t="n">
        <x:v>18</x:v>
      </x:c>
      <x:c r="D145" s="108" t="str">
        <x:v>RAFIKA</x:v>
      </x:c>
      <x:c r="E145" s="69" t="str">
        <x:v>Amabel Dress</x:v>
      </x:c>
      <x:c r="F145" s="69" t="str">
        <x:v>Dress</x:v>
      </x:c>
      <x:c r="G145" s="69" t="str">
        <x:v>Dewasa</x:v>
      </x:c>
      <x:c r="H145" s="69" t="str">
        <x:v>Baru</x:v>
      </x:c>
      <x:c r="I145" s="84" t="n">
        <x:f>MINIFS(VARIAN_STOK!$H$2:$H$333,VARIAN_STOK!$D$2:$D$333,$A145)</x:f>
        <x:v>425000</x:v>
      </x:c>
      <x:c r="J145" s="84" t="n">
        <x:f>MAXIFS(VARIAN_STOK!$H$2:$H$333,VARIAN_STOK!$D$2:$D$333,$A145)</x:f>
        <x:v>425000</x:v>
      </x:c>
      <x:c r="K145" s="90" t="n">
        <x:f>SUMIF(VARIAN_STOK!$D$2:$D$333,$A145,VARIAN_STOK!$I$2:$I$333)</x:f>
        <x:v>5</x:v>
      </x:c>
      <x:c r="L145" s="90" t="n">
        <x:f>COUNTIF(VARIAN_STOK!$D$2:$D$333,$A145)</x:f>
        <x:v>4</x:v>
      </x:c>
      <x:c r="M145" s="69" t="str">
        <x:v>Black, Maroon, Milo, Nill Green</x:v>
      </x:c>
      <x:c r="N145" s="69" t="str"/>
      <x:c r="O145" s="69" t="str"/>
      <x:c r="P145" s="69" t="str"/>
      <x:c r="Q145" s="69" t="str"/>
      <x:c r="R145" s="69" t="str"/>
      <x:c r="S145" s="69" t="str"/>
      <x:c r="T145" s="69" t="str"/>
      <x:c r="U145" s="69" t="str">
        <x:v>Tidak</x:v>
      </x:c>
      <x:c r="V145" s="69" t="str">
        <x:v>Tidak</x:v>
      </x:c>
      <x:c r="W145" s="69" t="str">
        <x:v>Aktif</x:v>
      </x:c>
      <x:c r="X145" s="70" t="str"/>
    </x:row>
    <x:row r="146">
      <x:c r="A146" s="96" t="str">
        <x:v>PRD0145</x:v>
      </x:c>
      <x:c r="B146" s="69" t="str">
        <x:v>preloved-slight-clutch</x:v>
      </x:c>
      <x:c r="C146" s="102" t="n">
        <x:v>21</x:v>
      </x:c>
      <x:c r="D146" s="108" t="str">
        <x:v>PRELOVED</x:v>
      </x:c>
      <x:c r="E146" s="69" t="str">
        <x:v>Slight Clutch</x:v>
      </x:c>
      <x:c r="F146" s="69" t="str">
        <x:v>Bag</x:v>
      </x:c>
      <x:c r="G146" s="69" t="str">
        <x:v>Dewasa</x:v>
      </x:c>
      <x:c r="H146" s="69" t="str">
        <x:v>Preloved</x:v>
      </x:c>
      <x:c r="I146" s="84" t="n">
        <x:f>MINIFS(VARIAN_STOK!$H$2:$H$333,VARIAN_STOK!$D$2:$D$333,$A146)</x:f>
        <x:v>75000</x:v>
      </x:c>
      <x:c r="J146" s="84" t="n">
        <x:f>MAXIFS(VARIAN_STOK!$H$2:$H$333,VARIAN_STOK!$D$2:$D$333,$A146)</x:f>
        <x:v>75000</x:v>
      </x:c>
      <x:c r="K146" s="90" t="n">
        <x:f>SUMIF(VARIAN_STOK!$D$2:$D$333,$A146,VARIAN_STOK!$I$2:$I$333)</x:f>
        <x:v>1</x:v>
      </x:c>
      <x:c r="L146" s="90" t="n">
        <x:f>COUNTIF(VARIAN_STOK!$D$2:$D$333,$A146)</x:f>
        <x:v>1</x:v>
      </x:c>
      <x:c r="M146" s="69" t="str"/>
      <x:c r="N146" s="69" t="str"/>
      <x:c r="O146" s="69" t="str"/>
      <x:c r="P146" s="69" t="str"/>
      <x:c r="Q146" s="69" t="str"/>
      <x:c r="R146" s="69" t="str"/>
      <x:c r="S146" s="69" t="str"/>
      <x:c r="T146" s="69" t="str"/>
      <x:c r="U146" s="69" t="str">
        <x:v>Tidak</x:v>
      </x:c>
      <x:c r="V146" s="69" t="str">
        <x:v>Tidak</x:v>
      </x:c>
      <x:c r="W146" s="69" t="str">
        <x:v>Aktif</x:v>
      </x:c>
      <x:c r="X146" s="70" t="str"/>
    </x:row>
    <x:row r="147">
      <x:c r="A147" s="96" t="str">
        <x:v>PRD0146</x:v>
      </x:c>
      <x:c r="B147" s="69" t="str">
        <x:v>preloved-famouscarf-2-dress</x:v>
      </x:c>
      <x:c r="C147" s="102" t="n">
        <x:v>21</x:v>
      </x:c>
      <x:c r="D147" s="108" t="str">
        <x:v>PRELOVED</x:v>
      </x:c>
      <x:c r="E147" s="69" t="str">
        <x:v>Famouscarf 2 Dress</x:v>
      </x:c>
      <x:c r="F147" s="69" t="str">
        <x:v>Dress</x:v>
      </x:c>
      <x:c r="G147" s="69" t="str">
        <x:v>Dewasa</x:v>
      </x:c>
      <x:c r="H147" s="69" t="str">
        <x:v>Preloved</x:v>
      </x:c>
      <x:c r="I147" s="84" t="n">
        <x:f>MINIFS(VARIAN_STOK!$H$2:$H$333,VARIAN_STOK!$D$2:$D$333,$A147)</x:f>
        <x:v>200000</x:v>
      </x:c>
      <x:c r="J147" s="84" t="n">
        <x:f>MAXIFS(VARIAN_STOK!$H$2:$H$333,VARIAN_STOK!$D$2:$D$333,$A147)</x:f>
        <x:v>200000</x:v>
      </x:c>
      <x:c r="K147" s="90" t="n">
        <x:f>SUMIF(VARIAN_STOK!$D$2:$D$333,$A147,VARIAN_STOK!$I$2:$I$333)</x:f>
        <x:v>1</x:v>
      </x:c>
      <x:c r="L147" s="90" t="n">
        <x:f>COUNTIF(VARIAN_STOK!$D$2:$D$333,$A147)</x:f>
        <x:v>1</x:v>
      </x:c>
      <x:c r="M147" s="69" t="str"/>
      <x:c r="N147" s="69" t="str">
        <x:v>M</x:v>
      </x:c>
      <x:c r="O147" s="69" t="str"/>
      <x:c r="P147" s="69" t="str"/>
      <x:c r="Q147" s="69" t="str"/>
      <x:c r="R147" s="69" t="str"/>
      <x:c r="S147" s="69" t="str"/>
      <x:c r="T147" s="69" t="str"/>
      <x:c r="U147" s="69" t="str">
        <x:v>Tidak</x:v>
      </x:c>
      <x:c r="V147" s="69" t="str">
        <x:v>Tidak</x:v>
      </x:c>
      <x:c r="W147" s="69" t="str">
        <x:v>Aktif</x:v>
      </x:c>
      <x:c r="X147" s="70" t="str"/>
    </x:row>
    <x:row r="148">
      <x:c r="A148" s="96" t="str">
        <x:v>PRD0147</x:v>
      </x:c>
      <x:c r="B148" s="69" t="str">
        <x:v>preloved-bs-x-laica-athleisure-legging</x:v>
      </x:c>
      <x:c r="C148" s="102" t="n">
        <x:v>21</x:v>
      </x:c>
      <x:c r="D148" s="108" t="str">
        <x:v>PRELOVED</x:v>
      </x:c>
      <x:c r="E148" s="69" t="str">
        <x:v>BS x Laica - Athleisure Legging</x:v>
      </x:c>
      <x:c r="F148" s="69" t="str">
        <x:v>Pants</x:v>
      </x:c>
      <x:c r="G148" s="69" t="str">
        <x:v>Dewasa</x:v>
      </x:c>
      <x:c r="H148" s="69" t="str">
        <x:v>Preloved</x:v>
      </x:c>
      <x:c r="I148" s="84" t="n">
        <x:f>MINIFS(VARIAN_STOK!$H$2:$H$333,VARIAN_STOK!$D$2:$D$333,$A148)</x:f>
        <x:v>235000</x:v>
      </x:c>
      <x:c r="J148" s="84" t="n">
        <x:f>MAXIFS(VARIAN_STOK!$H$2:$H$333,VARIAN_STOK!$D$2:$D$333,$A148)</x:f>
        <x:v>235000</x:v>
      </x:c>
      <x:c r="K148" s="90" t="n">
        <x:f>SUMIF(VARIAN_STOK!$D$2:$D$333,$A148,VARIAN_STOK!$I$2:$I$333)</x:f>
        <x:v>1</x:v>
      </x:c>
      <x:c r="L148" s="90" t="n">
        <x:f>COUNTIF(VARIAN_STOK!$D$2:$D$333,$A148)</x:f>
        <x:v>1</x:v>
      </x:c>
      <x:c r="M148" s="69" t="str"/>
      <x:c r="N148" s="69" t="str">
        <x:v>M</x:v>
      </x:c>
      <x:c r="O148" s="69" t="str"/>
      <x:c r="P148" s="69" t="str"/>
      <x:c r="Q148" s="69" t="str"/>
      <x:c r="R148" s="69" t="str"/>
      <x:c r="S148" s="69" t="str"/>
      <x:c r="T148" s="69" t="str"/>
      <x:c r="U148" s="69" t="str">
        <x:v>Tidak</x:v>
      </x:c>
      <x:c r="V148" s="69" t="str">
        <x:v>Tidak</x:v>
      </x:c>
      <x:c r="W148" s="69" t="str">
        <x:v>Aktif</x:v>
      </x:c>
      <x:c r="X148" s="70" t="str"/>
    </x:row>
    <x:row r="149">
      <x:c r="A149" s="96" t="str">
        <x:v>PRD0148</x:v>
      </x:c>
      <x:c r="B149" s="69" t="str">
        <x:v>preloved-kienka-millow-pants</x:v>
      </x:c>
      <x:c r="C149" s="102" t="n">
        <x:v>21</x:v>
      </x:c>
      <x:c r="D149" s="108" t="str">
        <x:v>PRELOVED</x:v>
      </x:c>
      <x:c r="E149" s="69" t="str">
        <x:v>Kienka - Millow Pants</x:v>
      </x:c>
      <x:c r="F149" s="69" t="str">
        <x:v>Pants</x:v>
      </x:c>
      <x:c r="G149" s="69" t="str">
        <x:v>Dewasa</x:v>
      </x:c>
      <x:c r="H149" s="69" t="str">
        <x:v>Preloved</x:v>
      </x:c>
      <x:c r="I149" s="84" t="n">
        <x:f>MINIFS(VARIAN_STOK!$H$2:$H$333,VARIAN_STOK!$D$2:$D$333,$A149)</x:f>
        <x:v>185000</x:v>
      </x:c>
      <x:c r="J149" s="84" t="n">
        <x:f>MAXIFS(VARIAN_STOK!$H$2:$H$333,VARIAN_STOK!$D$2:$D$333,$A149)</x:f>
        <x:v>185000</x:v>
      </x:c>
      <x:c r="K149" s="90" t="n">
        <x:f>SUMIF(VARIAN_STOK!$D$2:$D$333,$A149,VARIAN_STOK!$I$2:$I$333)</x:f>
        <x:v>1</x:v>
      </x:c>
      <x:c r="L149" s="90" t="n">
        <x:f>COUNTIF(VARIAN_STOK!$D$2:$D$333,$A149)</x:f>
        <x:v>1</x:v>
      </x:c>
      <x:c r="M149" s="69" t="str">
        <x:v>White</x:v>
      </x:c>
      <x:c r="N149" s="69" t="str">
        <x:v>M</x:v>
      </x:c>
      <x:c r="O149" s="69" t="str"/>
      <x:c r="P149" s="69" t="str"/>
      <x:c r="Q149" s="69" t="str"/>
      <x:c r="R149" s="69" t="str"/>
      <x:c r="S149" s="69" t="str"/>
      <x:c r="T149" s="69" t="str"/>
      <x:c r="U149" s="69" t="str">
        <x:v>Tidak</x:v>
      </x:c>
      <x:c r="V149" s="69" t="str">
        <x:v>Tidak</x:v>
      </x:c>
      <x:c r="W149" s="69" t="str">
        <x:v>Aktif</x:v>
      </x:c>
      <x:c r="X149" s="70" t="str"/>
    </x:row>
    <x:row r="150">
      <x:c r="A150" s="96" t="str">
        <x:v>PRD0149</x:v>
      </x:c>
      <x:c r="B150" s="69" t="str">
        <x:v>preloved-sarah-the-label-viscose-pants-semi-cutbray</x:v>
      </x:c>
      <x:c r="C150" s="102" t="n">
        <x:v>21</x:v>
      </x:c>
      <x:c r="D150" s="108" t="str">
        <x:v>PRELOVED</x:v>
      </x:c>
      <x:c r="E150" s="69" t="str">
        <x:v>Sarah The Label - Viscose Pants Semi Cutbray</x:v>
      </x:c>
      <x:c r="F150" s="69" t="str">
        <x:v>Pants</x:v>
      </x:c>
      <x:c r="G150" s="69" t="str">
        <x:v>Dewasa</x:v>
      </x:c>
      <x:c r="H150" s="69" t="str">
        <x:v>Preloved</x:v>
      </x:c>
      <x:c r="I150" s="84" t="n">
        <x:f>MINIFS(VARIAN_STOK!$H$2:$H$333,VARIAN_STOK!$D$2:$D$333,$A150)</x:f>
        <x:v>185000</x:v>
      </x:c>
      <x:c r="J150" s="84" t="n">
        <x:f>MAXIFS(VARIAN_STOK!$H$2:$H$333,VARIAN_STOK!$D$2:$D$333,$A150)</x:f>
        <x:v>185000</x:v>
      </x:c>
      <x:c r="K150" s="90" t="n">
        <x:f>SUMIF(VARIAN_STOK!$D$2:$D$333,$A150,VARIAN_STOK!$I$2:$I$333)</x:f>
        <x:v>1</x:v>
      </x:c>
      <x:c r="L150" s="90" t="n">
        <x:f>COUNTIF(VARIAN_STOK!$D$2:$D$333,$A150)</x:f>
        <x:v>1</x:v>
      </x:c>
      <x:c r="M150" s="69" t="str"/>
      <x:c r="N150" s="69" t="str"/>
      <x:c r="O150" s="69" t="str"/>
      <x:c r="P150" s="69" t="str"/>
      <x:c r="Q150" s="69" t="str"/>
      <x:c r="R150" s="69" t="str"/>
      <x:c r="S150" s="69" t="str"/>
      <x:c r="T150" s="69" t="str"/>
      <x:c r="U150" s="69" t="str">
        <x:v>Tidak</x:v>
      </x:c>
      <x:c r="V150" s="69" t="str">
        <x:v>Tidak</x:v>
      </x:c>
      <x:c r="W150" s="69" t="str">
        <x:v>Aktif</x:v>
      </x:c>
      <x:c r="X150" s="70" t="str"/>
    </x:row>
    <x:row r="151">
      <x:c r="A151" s="96" t="str">
        <x:v>PRD0150</x:v>
      </x:c>
      <x:c r="B151" s="69" t="str">
        <x:v>preloved-niaz-koko-kids</x:v>
      </x:c>
      <x:c r="C151" s="102" t="n">
        <x:v>21</x:v>
      </x:c>
      <x:c r="D151" s="108" t="str">
        <x:v>PRELOVED</x:v>
      </x:c>
      <x:c r="E151" s="69" t="str">
        <x:v>Niaz Koko Kids</x:v>
      </x:c>
      <x:c r="F151" s="69" t="str">
        <x:v>Shirt</x:v>
      </x:c>
      <x:c r="G151" s="69" t="str">
        <x:v>Anak</x:v>
      </x:c>
      <x:c r="H151" s="69" t="str">
        <x:v>Preloved</x:v>
      </x:c>
      <x:c r="I151" s="84" t="n">
        <x:f>MINIFS(VARIAN_STOK!$H$2:$H$333,VARIAN_STOK!$D$2:$D$333,$A151)</x:f>
        <x:v>185000</x:v>
      </x:c>
      <x:c r="J151" s="84" t="n">
        <x:f>MAXIFS(VARIAN_STOK!$H$2:$H$333,VARIAN_STOK!$D$2:$D$333,$A151)</x:f>
        <x:v>185000</x:v>
      </x:c>
      <x:c r="K151" s="90" t="n">
        <x:f>SUMIF(VARIAN_STOK!$D$2:$D$333,$A151,VARIAN_STOK!$I$2:$I$333)</x:f>
        <x:v>1</x:v>
      </x:c>
      <x:c r="L151" s="90" t="n">
        <x:f>COUNTIF(VARIAN_STOK!$D$2:$D$333,$A151)</x:f>
        <x:v>1</x:v>
      </x:c>
      <x:c r="M151" s="69" t="str"/>
      <x:c r="N151" s="69" t="str">
        <x:v>5-6</x:v>
      </x:c>
      <x:c r="O151" s="69" t="str"/>
      <x:c r="P151" s="69" t="str"/>
      <x:c r="Q151" s="69" t="str"/>
      <x:c r="R151" s="69" t="str"/>
      <x:c r="S151" s="69" t="str"/>
      <x:c r="T151" s="69" t="str"/>
      <x:c r="U151" s="69" t="str">
        <x:v>Tidak</x:v>
      </x:c>
      <x:c r="V151" s="69" t="str">
        <x:v>Tidak</x:v>
      </x:c>
      <x:c r="W151" s="69" t="str">
        <x:v>Aktif</x:v>
      </x:c>
      <x:c r="X151" s="70" t="str"/>
    </x:row>
    <x:row r="152">
      <x:c r="A152" s="96" t="str">
        <x:v>PRD0151</x:v>
      </x:c>
      <x:c r="B152" s="69" t="str">
        <x:v>preloved-rm-rasuna-koko-kids</x:v>
      </x:c>
      <x:c r="C152" s="102" t="n">
        <x:v>21</x:v>
      </x:c>
      <x:c r="D152" s="108" t="str">
        <x:v>PRELOVED</x:v>
      </x:c>
      <x:c r="E152" s="69" t="str">
        <x:v>RM - Rasuna Koko Kids</x:v>
      </x:c>
      <x:c r="F152" s="69" t="str">
        <x:v>Shirt</x:v>
      </x:c>
      <x:c r="G152" s="69" t="str">
        <x:v>Anak</x:v>
      </x:c>
      <x:c r="H152" s="69" t="str">
        <x:v>Preloved</x:v>
      </x:c>
      <x:c r="I152" s="84" t="n">
        <x:f>MINIFS(VARIAN_STOK!$H$2:$H$333,VARIAN_STOK!$D$2:$D$333,$A152)</x:f>
        <x:v>150000</x:v>
      </x:c>
      <x:c r="J152" s="84" t="n">
        <x:f>MAXIFS(VARIAN_STOK!$H$2:$H$333,VARIAN_STOK!$D$2:$D$333,$A152)</x:f>
        <x:v>150000</x:v>
      </x:c>
      <x:c r="K152" s="90" t="n">
        <x:f>SUMIF(VARIAN_STOK!$D$2:$D$333,$A152,VARIAN_STOK!$I$2:$I$333)</x:f>
        <x:v>1</x:v>
      </x:c>
      <x:c r="L152" s="90" t="n">
        <x:f>COUNTIF(VARIAN_STOK!$D$2:$D$333,$A152)</x:f>
        <x:v>1</x:v>
      </x:c>
      <x:c r="M152" s="69" t="str"/>
      <x:c r="N152" s="69" t="str">
        <x:v>S</x:v>
      </x:c>
      <x:c r="O152" s="69" t="str"/>
      <x:c r="P152" s="69" t="str"/>
      <x:c r="Q152" s="69" t="str"/>
      <x:c r="R152" s="69" t="str"/>
      <x:c r="S152" s="69" t="str"/>
      <x:c r="T152" s="69" t="str"/>
      <x:c r="U152" s="69" t="str">
        <x:v>Tidak</x:v>
      </x:c>
      <x:c r="V152" s="69" t="str">
        <x:v>Tidak</x:v>
      </x:c>
      <x:c r="W152" s="69" t="str">
        <x:v>Aktif</x:v>
      </x:c>
      <x:c r="X152" s="70" t="str"/>
    </x:row>
    <x:row r="153">
      <x:c r="A153" s="96" t="str">
        <x:v>PRD0152</x:v>
      </x:c>
      <x:c r="B153" s="69" t="str">
        <x:v>preloved-sarah-the-label-inner-gold-muda</x:v>
      </x:c>
      <x:c r="C153" s="102" t="n">
        <x:v>21</x:v>
      </x:c>
      <x:c r="D153" s="108" t="str">
        <x:v>PRELOVED</x:v>
      </x:c>
      <x:c r="E153" s="69" t="str">
        <x:v>Sarah The Label - Inner Gold Muda</x:v>
      </x:c>
      <x:c r="F153" s="69" t="str">
        <x:v>Shirt</x:v>
      </x:c>
      <x:c r="G153" s="69" t="str">
        <x:v>Dewasa</x:v>
      </x:c>
      <x:c r="H153" s="69" t="str">
        <x:v>Preloved</x:v>
      </x:c>
      <x:c r="I153" s="84" t="n">
        <x:f>MINIFS(VARIAN_STOK!$H$2:$H$333,VARIAN_STOK!$D$2:$D$333,$A153)</x:f>
        <x:v>90000</x:v>
      </x:c>
      <x:c r="J153" s="84" t="n">
        <x:f>MAXIFS(VARIAN_STOK!$H$2:$H$333,VARIAN_STOK!$D$2:$D$333,$A153)</x:f>
        <x:v>90000</x:v>
      </x:c>
      <x:c r="K153" s="90" t="n">
        <x:f>SUMIF(VARIAN_STOK!$D$2:$D$333,$A153,VARIAN_STOK!$I$2:$I$333)</x:f>
        <x:v>1</x:v>
      </x:c>
      <x:c r="L153" s="90" t="n">
        <x:f>COUNTIF(VARIAN_STOK!$D$2:$D$333,$A153)</x:f>
        <x:v>1</x:v>
      </x:c>
      <x:c r="M153" s="69" t="str"/>
      <x:c r="N153" s="69" t="str"/>
      <x:c r="O153" s="69" t="str"/>
      <x:c r="P153" s="69" t="str"/>
      <x:c r="Q153" s="69" t="str"/>
      <x:c r="R153" s="69" t="str"/>
      <x:c r="S153" s="69" t="str"/>
      <x:c r="T153" s="69" t="str"/>
      <x:c r="U153" s="69" t="str">
        <x:v>Tidak</x:v>
      </x:c>
      <x:c r="V153" s="69" t="str">
        <x:v>Tidak</x:v>
      </x:c>
      <x:c r="W153" s="69" t="str">
        <x:v>Aktif</x:v>
      </x:c>
      <x:c r="X153" s="70" t="str"/>
    </x:row>
    <x:row r="154">
      <x:c r="A154" s="96" t="str">
        <x:v>PRD0153</x:v>
      </x:c>
      <x:c r="B154" s="69" t="str">
        <x:v>preloved-nike-air-max</x:v>
      </x:c>
      <x:c r="C154" s="102" t="n">
        <x:v>21</x:v>
      </x:c>
      <x:c r="D154" s="108" t="str">
        <x:v>PRELOVED</x:v>
      </x:c>
      <x:c r="E154" s="69" t="str">
        <x:v>Nike Air Max</x:v>
      </x:c>
      <x:c r="F154" s="69" t="str">
        <x:v>Shoes</x:v>
      </x:c>
      <x:c r="G154" s="69" t="str">
        <x:v>Dewasa</x:v>
      </x:c>
      <x:c r="H154" s="69" t="str">
        <x:v>Preloved</x:v>
      </x:c>
      <x:c r="I154" s="84" t="n">
        <x:f>MINIFS(VARIAN_STOK!$H$2:$H$333,VARIAN_STOK!$D$2:$D$333,$A154)</x:f>
        <x:v>450000</x:v>
      </x:c>
      <x:c r="J154" s="84" t="n">
        <x:f>MAXIFS(VARIAN_STOK!$H$2:$H$333,VARIAN_STOK!$D$2:$D$333,$A154)</x:f>
        <x:v>450000</x:v>
      </x:c>
      <x:c r="K154" s="90" t="n">
        <x:f>SUMIF(VARIAN_STOK!$D$2:$D$333,$A154,VARIAN_STOK!$I$2:$I$333)</x:f>
        <x:v>1</x:v>
      </x:c>
      <x:c r="L154" s="90" t="n">
        <x:f>COUNTIF(VARIAN_STOK!$D$2:$D$333,$A154)</x:f>
        <x:v>1</x:v>
      </x:c>
      <x:c r="M154" s="69" t="str">
        <x:v>White - US 1Y</x:v>
      </x:c>
      <x:c r="N154" s="69" t="str"/>
      <x:c r="O154" s="69" t="str"/>
      <x:c r="P154" s="69" t="str"/>
      <x:c r="Q154" s="69" t="str"/>
      <x:c r="R154" s="69" t="str"/>
      <x:c r="S154" s="69" t="str"/>
      <x:c r="T154" s="69" t="str"/>
      <x:c r="U154" s="69" t="str">
        <x:v>Tidak</x:v>
      </x:c>
      <x:c r="V154" s="69" t="str">
        <x:v>Tidak</x:v>
      </x:c>
      <x:c r="W154" s="69" t="str">
        <x:v>Aktif</x:v>
      </x:c>
      <x:c r="X154" s="70" t="str"/>
    </x:row>
    <x:row r="155">
      <x:c r="A155" s="96" t="str">
        <x:v>PRD0154</x:v>
      </x:c>
      <x:c r="B155" s="69" t="str">
        <x:v>preloved-nike-omni-multi-court-little-kids</x:v>
      </x:c>
      <x:c r="C155" s="102" t="n">
        <x:v>21</x:v>
      </x:c>
      <x:c r="D155" s="108" t="str">
        <x:v>PRELOVED</x:v>
      </x:c>
      <x:c r="E155" s="69" t="str">
        <x:v>Nike Omni Multi Court Little Kids</x:v>
      </x:c>
      <x:c r="F155" s="69" t="str">
        <x:v>Shoes</x:v>
      </x:c>
      <x:c r="G155" s="69" t="str">
        <x:v>Anak</x:v>
      </x:c>
      <x:c r="H155" s="69" t="str">
        <x:v>Preloved</x:v>
      </x:c>
      <x:c r="I155" s="84" t="n">
        <x:f>MINIFS(VARIAN_STOK!$H$2:$H$333,VARIAN_STOK!$D$2:$D$333,$A155)</x:f>
        <x:v>200000</x:v>
      </x:c>
      <x:c r="J155" s="84" t="n">
        <x:f>MAXIFS(VARIAN_STOK!$H$2:$H$333,VARIAN_STOK!$D$2:$D$333,$A155)</x:f>
        <x:v>200000</x:v>
      </x:c>
      <x:c r="K155" s="90" t="n">
        <x:f>SUMIF(VARIAN_STOK!$D$2:$D$333,$A155,VARIAN_STOK!$I$2:$I$333)</x:f>
        <x:v>1</x:v>
      </x:c>
      <x:c r="L155" s="90" t="n">
        <x:f>COUNTIF(VARIAN_STOK!$D$2:$D$333,$A155)</x:f>
        <x:v>1</x:v>
      </x:c>
      <x:c r="M155" s="69" t="str">
        <x:v>Black</x:v>
      </x:c>
      <x:c r="N155" s="69" t="str"/>
      <x:c r="O155" s="69" t="str"/>
      <x:c r="P155" s="69" t="str"/>
      <x:c r="Q155" s="69" t="str"/>
      <x:c r="R155" s="69" t="str"/>
      <x:c r="S155" s="69" t="str"/>
      <x:c r="T155" s="69" t="str"/>
      <x:c r="U155" s="69" t="str">
        <x:v>Tidak</x:v>
      </x:c>
      <x:c r="V155" s="69" t="str">
        <x:v>Tidak</x:v>
      </x:c>
      <x:c r="W155" s="69" t="str">
        <x:v>Aktif</x:v>
      </x:c>
      <x:c r="X155" s="70" t="str"/>
    </x:row>
    <x:row r="156">
      <x:c r="A156" s="96" t="str">
        <x:v>PRD0155</x:v>
      </x:c>
      <x:c r="B156" s="69" t="str">
        <x:v>preloved-nike-women-air-max-280-react</x:v>
      </x:c>
      <x:c r="C156" s="102" t="n">
        <x:v>21</x:v>
      </x:c>
      <x:c r="D156" s="108" t="str">
        <x:v>PRELOVED</x:v>
      </x:c>
      <x:c r="E156" s="69" t="str">
        <x:v>Nike Women Air Max 280 React</x:v>
      </x:c>
      <x:c r="F156" s="69" t="str">
        <x:v>Shoes</x:v>
      </x:c>
      <x:c r="G156" s="69" t="str">
        <x:v>Dewasa</x:v>
      </x:c>
      <x:c r="H156" s="69" t="str">
        <x:v>Preloved</x:v>
      </x:c>
      <x:c r="I156" s="84" t="n">
        <x:f>MINIFS(VARIAN_STOK!$H$2:$H$333,VARIAN_STOK!$D$2:$D$333,$A156)</x:f>
        <x:v>600000</x:v>
      </x:c>
      <x:c r="J156" s="84" t="n">
        <x:f>MAXIFS(VARIAN_STOK!$H$2:$H$333,VARIAN_STOK!$D$2:$D$333,$A156)</x:f>
        <x:v>600000</x:v>
      </x:c>
      <x:c r="K156" s="90" t="n">
        <x:f>SUMIF(VARIAN_STOK!$D$2:$D$333,$A156,VARIAN_STOK!$I$2:$I$333)</x:f>
        <x:v>1</x:v>
      </x:c>
      <x:c r="L156" s="90" t="n">
        <x:f>COUNTIF(VARIAN_STOK!$D$2:$D$333,$A156)</x:f>
        <x:v>1</x:v>
      </x:c>
      <x:c r="M156" s="69" t="str">
        <x:v>Cinnamon Gold</x:v>
      </x:c>
      <x:c r="N156" s="69" t="str"/>
      <x:c r="O156" s="69" t="str"/>
      <x:c r="P156" s="69" t="str"/>
      <x:c r="Q156" s="69" t="str"/>
      <x:c r="R156" s="69" t="str"/>
      <x:c r="S156" s="69" t="str"/>
      <x:c r="T156" s="69" t="str"/>
      <x:c r="U156" s="69" t="str">
        <x:v>Tidak</x:v>
      </x:c>
      <x:c r="V156" s="69" t="str">
        <x:v>Tidak</x:v>
      </x:c>
      <x:c r="W156" s="69" t="str">
        <x:v>Aktif</x:v>
      </x:c>
      <x:c r="X156" s="70" t="str"/>
    </x:row>
    <x:row r="157">
      <x:c r="A157" s="96" t="str">
        <x:v>PRD0156</x:v>
      </x:c>
      <x:c r="B157" s="69" t="str">
        <x:v>preloved-shoes-po-china</x:v>
      </x:c>
      <x:c r="C157" s="102" t="n">
        <x:v>21</x:v>
      </x:c>
      <x:c r="D157" s="108" t="str">
        <x:v>PRELOVED</x:v>
      </x:c>
      <x:c r="E157" s="69" t="str">
        <x:v>Shoes PO China</x:v>
      </x:c>
      <x:c r="F157" s="69" t="str">
        <x:v>Shoes</x:v>
      </x:c>
      <x:c r="G157" s="69" t="str">
        <x:v>Dewasa</x:v>
      </x:c>
      <x:c r="H157" s="69" t="str">
        <x:v>Preloved</x:v>
      </x:c>
      <x:c r="I157" s="84" t="n">
        <x:f>MINIFS(VARIAN_STOK!$H$2:$H$333,VARIAN_STOK!$D$2:$D$333,$A157)</x:f>
        <x:v>250000</x:v>
      </x:c>
      <x:c r="J157" s="84" t="n">
        <x:f>MAXIFS(VARIAN_STOK!$H$2:$H$333,VARIAN_STOK!$D$2:$D$333,$A157)</x:f>
        <x:v>250000</x:v>
      </x:c>
      <x:c r="K157" s="90" t="n">
        <x:f>SUMIF(VARIAN_STOK!$D$2:$D$333,$A157,VARIAN_STOK!$I$2:$I$333)</x:f>
        <x:v>1</x:v>
      </x:c>
      <x:c r="L157" s="90" t="n">
        <x:f>COUNTIF(VARIAN_STOK!$D$2:$D$333,$A157)</x:f>
        <x:v>1</x:v>
      </x:c>
      <x:c r="M157" s="69" t="str">
        <x:v>Silver</x:v>
      </x:c>
      <x:c r="N157" s="69" t="str">
        <x:v>39</x:v>
      </x:c>
      <x:c r="O157" s="69" t="str"/>
      <x:c r="P157" s="69" t="str"/>
      <x:c r="Q157" s="69" t="str"/>
      <x:c r="R157" s="69" t="str"/>
      <x:c r="S157" s="69" t="str"/>
      <x:c r="T157" s="69" t="str"/>
      <x:c r="U157" s="69" t="str">
        <x:v>Tidak</x:v>
      </x:c>
      <x:c r="V157" s="69" t="str">
        <x:v>Tidak</x:v>
      </x:c>
      <x:c r="W157" s="69" t="str">
        <x:v>Aktif</x:v>
      </x:c>
      <x:c r="X157" s="70" t="str"/>
    </x:row>
    <x:row r="158">
      <x:c r="A158" s="96" t="str">
        <x:v>PRD0157</x:v>
      </x:c>
      <x:c r="B158" s="69" t="str">
        <x:v>preloved-sarah-the-label-rok-lilit-set-outer-batik</x:v>
      </x:c>
      <x:c r="C158" s="102" t="n">
        <x:v>21</x:v>
      </x:c>
      <x:c r="D158" s="108" t="str">
        <x:v>PRELOVED</x:v>
      </x:c>
      <x:c r="E158" s="69" t="str">
        <x:v>Sarah The Label - Rok Lilit Set Outer Batik</x:v>
      </x:c>
      <x:c r="F158" s="69" t="str">
        <x:v>Skirt</x:v>
      </x:c>
      <x:c r="G158" s="69" t="str">
        <x:v>Dewasa</x:v>
      </x:c>
      <x:c r="H158" s="69" t="str">
        <x:v>Preloved</x:v>
      </x:c>
      <x:c r="I158" s="84" t="n">
        <x:f>MINIFS(VARIAN_STOK!$H$2:$H$333,VARIAN_STOK!$D$2:$D$333,$A158)</x:f>
        <x:v>200000</x:v>
      </x:c>
      <x:c r="J158" s="84" t="n">
        <x:f>MAXIFS(VARIAN_STOK!$H$2:$H$333,VARIAN_STOK!$D$2:$D$333,$A158)</x:f>
        <x:v>200000</x:v>
      </x:c>
      <x:c r="K158" s="90" t="n">
        <x:f>SUMIF(VARIAN_STOK!$D$2:$D$333,$A158,VARIAN_STOK!$I$2:$I$333)</x:f>
        <x:v>1</x:v>
      </x:c>
      <x:c r="L158" s="90" t="n">
        <x:f>COUNTIF(VARIAN_STOK!$D$2:$D$333,$A158)</x:f>
        <x:v>1</x:v>
      </x:c>
      <x:c r="M158" s="69" t="str"/>
      <x:c r="N158" s="69" t="str"/>
      <x:c r="O158" s="69" t="str"/>
      <x:c r="P158" s="69" t="str"/>
      <x:c r="Q158" s="69" t="str"/>
      <x:c r="R158" s="69" t="str"/>
      <x:c r="S158" s="69" t="str"/>
      <x:c r="T158" s="69" t="str"/>
      <x:c r="U158" s="69" t="str">
        <x:v>Tidak</x:v>
      </x:c>
      <x:c r="V158" s="69" t="str">
        <x:v>Tidak</x:v>
      </x:c>
      <x:c r="W158" s="69" t="str">
        <x:v>Aktif</x:v>
      </x:c>
      <x:c r="X158" s="70" t="str"/>
    </x:row>
    <x:row r="159">
      <x:c r="A159" s="96" t="str">
        <x:v>PRD0158</x:v>
      </x:c>
      <x:c r="B159" s="69" t="str">
        <x:v>preloved-sarah-the-label-set-outer-inner-rok-lilit</x:v>
      </x:c>
      <x:c r="C159" s="102" t="n">
        <x:v>21</x:v>
      </x:c>
      <x:c r="D159" s="108" t="str">
        <x:v>PRELOVED</x:v>
      </x:c>
      <x:c r="E159" s="69" t="str">
        <x:v>Sarah The Label - Set Outer inner + Rok lilit</x:v>
      </x:c>
      <x:c r="F159" s="69" t="str">
        <x:v>Skirt</x:v>
      </x:c>
      <x:c r="G159" s="69" t="str">
        <x:v>Dewasa</x:v>
      </x:c>
      <x:c r="H159" s="69" t="str">
        <x:v>Preloved</x:v>
      </x:c>
      <x:c r="I159" s="84" t="n">
        <x:f>MINIFS(VARIAN_STOK!$H$2:$H$333,VARIAN_STOK!$D$2:$D$333,$A159)</x:f>
        <x:v>285000</x:v>
      </x:c>
      <x:c r="J159" s="84" t="n">
        <x:f>MAXIFS(VARIAN_STOK!$H$2:$H$333,VARIAN_STOK!$D$2:$D$333,$A159)</x:f>
        <x:v>285000</x:v>
      </x:c>
      <x:c r="K159" s="90" t="n">
        <x:f>SUMIF(VARIAN_STOK!$D$2:$D$333,$A159,VARIAN_STOK!$I$2:$I$333)</x:f>
        <x:v>1</x:v>
      </x:c>
      <x:c r="L159" s="90" t="n">
        <x:f>COUNTIF(VARIAN_STOK!$D$2:$D$333,$A159)</x:f>
        <x:v>1</x:v>
      </x:c>
      <x:c r="M159" s="69" t="str"/>
      <x:c r="N159" s="69" t="str"/>
      <x:c r="O159" s="69" t="str"/>
      <x:c r="P159" s="69" t="str"/>
      <x:c r="Q159" s="69" t="str"/>
      <x:c r="R159" s="69" t="str"/>
      <x:c r="S159" s="69" t="str"/>
      <x:c r="T159" s="69" t="str"/>
      <x:c r="U159" s="69" t="str">
        <x:v>Tidak</x:v>
      </x:c>
      <x:c r="V159" s="69" t="str">
        <x:v>Tidak</x:v>
      </x:c>
      <x:c r="W159" s="69" t="str">
        <x:v>Aktif</x:v>
      </x:c>
      <x:c r="X159" s="70" t="str"/>
    </x:row>
    <x:row r="160">
      <x:c r="A160" s="96" t="str">
        <x:v>PRD0159</x:v>
      </x:c>
      <x:c r="B160" s="69" t="str">
        <x:v>preloved-3x-klamby-andaya-tunic</x:v>
      </x:c>
      <x:c r="C160" s="102" t="n">
        <x:v>21</x:v>
      </x:c>
      <x:c r="D160" s="108" t="str">
        <x:v>PRELOVED</x:v>
      </x:c>
      <x:c r="E160" s="69" t="str">
        <x:v>3x Klamby - Andaya Tunic</x:v>
      </x:c>
      <x:c r="F160" s="69" t="str">
        <x:v>Tunic</x:v>
      </x:c>
      <x:c r="G160" s="69" t="str">
        <x:v>Dewasa</x:v>
      </x:c>
      <x:c r="H160" s="69" t="str">
        <x:v>Preloved</x:v>
      </x:c>
      <x:c r="I160" s="84" t="n">
        <x:f>MINIFS(VARIAN_STOK!$H$2:$H$333,VARIAN_STOK!$D$2:$D$333,$A160)</x:f>
        <x:v>300000</x:v>
      </x:c>
      <x:c r="J160" s="84" t="n">
        <x:f>MAXIFS(VARIAN_STOK!$H$2:$H$333,VARIAN_STOK!$D$2:$D$333,$A160)</x:f>
        <x:v>300000</x:v>
      </x:c>
      <x:c r="K160" s="90" t="n">
        <x:f>SUMIF(VARIAN_STOK!$D$2:$D$333,$A160,VARIAN_STOK!$I$2:$I$333)</x:f>
        <x:v>1</x:v>
      </x:c>
      <x:c r="L160" s="90" t="n">
        <x:f>COUNTIF(VARIAN_STOK!$D$2:$D$333,$A160)</x:f>
        <x:v>1</x:v>
      </x:c>
      <x:c r="M160" s="69" t="str"/>
      <x:c r="N160" s="69" t="str">
        <x:v>S</x:v>
      </x:c>
      <x:c r="O160" s="69" t="str"/>
      <x:c r="P160" s="69" t="str"/>
      <x:c r="Q160" s="69" t="str"/>
      <x:c r="R160" s="69" t="str"/>
      <x:c r="S160" s="69" t="str"/>
      <x:c r="T160" s="69" t="str"/>
      <x:c r="U160" s="69" t="str">
        <x:v>Tidak</x:v>
      </x:c>
      <x:c r="V160" s="69" t="str">
        <x:v>Tidak</x:v>
      </x:c>
      <x:c r="W160" s="69" t="str">
        <x:v>Aktif</x:v>
      </x:c>
      <x:c r="X160" s="70" t="str"/>
    </x:row>
    <x:row r="161">
      <x:c r="A161" s="96" t="str">
        <x:v>PRD0160</x:v>
      </x:c>
      <x:c r="B161" s="69" t="str">
        <x:v>kamila-wardrobe-alur-dress-kids</x:v>
      </x:c>
      <x:c r="C161" s="102" t="n">
        <x:v>22</x:v>
      </x:c>
      <x:c r="D161" s="108" t="str">
        <x:v>KAMILA WARDROBE</x:v>
      </x:c>
      <x:c r="E161" s="69" t="str">
        <x:v>Alur Dress Kids</x:v>
      </x:c>
      <x:c r="F161" s="69" t="str">
        <x:v>Dress</x:v>
      </x:c>
      <x:c r="G161" s="69" t="str">
        <x:v>Anak</x:v>
      </x:c>
      <x:c r="H161" s="69" t="str">
        <x:v>Baru</x:v>
      </x:c>
      <x:c r="I161" s="84" t="n">
        <x:f>MINIFS(VARIAN_STOK!$H$2:$H$333,VARIAN_STOK!$D$2:$D$333,$A161)</x:f>
        <x:v>435000</x:v>
      </x:c>
      <x:c r="J161" s="84" t="n">
        <x:f>MAXIFS(VARIAN_STOK!$H$2:$H$333,VARIAN_STOK!$D$2:$D$333,$A161)</x:f>
        <x:v>435000</x:v>
      </x:c>
      <x:c r="K161" s="90" t="n">
        <x:f>SUMIF(VARIAN_STOK!$D$2:$D$333,$A161,VARIAN_STOK!$I$2:$I$333)</x:f>
        <x:v>4</x:v>
      </x:c>
      <x:c r="L161" s="90" t="n">
        <x:f>COUNTIF(VARIAN_STOK!$D$2:$D$333,$A161)</x:f>
        <x:v>4</x:v>
      </x:c>
      <x:c r="M161" s="69" t="str">
        <x:v>Broken White, Powder Blue</x:v>
      </x:c>
      <x:c r="N161" s="69" t="str">
        <x:v>M, S</x:v>
      </x:c>
      <x:c r="O161" s="69" t="str"/>
      <x:c r="P161" s="69" t="str"/>
      <x:c r="Q161" s="69" t="str"/>
      <x:c r="R161" s="69" t="str"/>
      <x:c r="S161" s="69" t="str"/>
      <x:c r="T161" s="69" t="str"/>
      <x:c r="U161" s="69" t="str">
        <x:v>Tidak</x:v>
      </x:c>
      <x:c r="V161" s="69" t="str">
        <x:v>Tidak</x:v>
      </x:c>
      <x:c r="W161" s="69" t="str">
        <x:v>Aktif</x:v>
      </x:c>
      <x:c r="X161" s="70" t="str"/>
    </x:row>
    <x:row r="162">
      <x:c r="A162" s="96" t="str">
        <x:v>PRD0161</x:v>
      </x:c>
      <x:c r="B162" s="69" t="str">
        <x:v>kamila-wardrobe-backyard-series</x:v>
      </x:c>
      <x:c r="C162" s="102" t="n">
        <x:v>22</x:v>
      </x:c>
      <x:c r="D162" s="108" t="str">
        <x:v>KAMILA WARDROBE</x:v>
      </x:c>
      <x:c r="E162" s="69" t="str">
        <x:v>Backyard Series</x:v>
      </x:c>
      <x:c r="F162" s="69" t="str">
        <x:v>Hijab</x:v>
      </x:c>
      <x:c r="G162" s="69" t="str">
        <x:v>Dewasa</x:v>
      </x:c>
      <x:c r="H162" s="69" t="str">
        <x:v>Baru</x:v>
      </x:c>
      <x:c r="I162" s="84" t="n">
        <x:f>MINIFS(VARIAN_STOK!$H$2:$H$333,VARIAN_STOK!$D$2:$D$333,$A162)</x:f>
        <x:v>299000</x:v>
      </x:c>
      <x:c r="J162" s="84" t="n">
        <x:f>MAXIFS(VARIAN_STOK!$H$2:$H$333,VARIAN_STOK!$D$2:$D$333,$A162)</x:f>
        <x:v>299000</x:v>
      </x:c>
      <x:c r="K162" s="90" t="n">
        <x:f>SUMIF(VARIAN_STOK!$D$2:$D$333,$A162,VARIAN_STOK!$I$2:$I$333)</x:f>
        <x:v>1</x:v>
      </x:c>
      <x:c r="L162" s="90" t="n">
        <x:f>COUNTIF(VARIAN_STOK!$D$2:$D$333,$A162)</x:f>
        <x:v>1</x:v>
      </x:c>
      <x:c r="M162" s="69" t="str">
        <x:v>Denim</x:v>
      </x:c>
      <x:c r="N162" s="69" t="str"/>
      <x:c r="O162" s="69" t="str"/>
      <x:c r="P162" s="69" t="str"/>
      <x:c r="Q162" s="69" t="str"/>
      <x:c r="R162" s="69" t="str"/>
      <x:c r="S162" s="69" t="str"/>
      <x:c r="T162" s="69" t="str"/>
      <x:c r="U162" s="69" t="str">
        <x:v>Tidak</x:v>
      </x:c>
      <x:c r="V162" s="69" t="str">
        <x:v>Tidak</x:v>
      </x:c>
      <x:c r="W162" s="69" t="str">
        <x:v>Aktif</x:v>
      </x:c>
      <x:c r="X162" s="70" t="str"/>
    </x:row>
    <x:row r="163">
      <x:c r="A163" s="96" t="str">
        <x:v>PRD0162</x:v>
      </x:c>
      <x:c r="B163" s="69" t="str">
        <x:v>kamila-wardrobe-serenity-series</x:v>
      </x:c>
      <x:c r="C163" s="102" t="n">
        <x:v>22</x:v>
      </x:c>
      <x:c r="D163" s="108" t="str">
        <x:v>KAMILA WARDROBE</x:v>
      </x:c>
      <x:c r="E163" s="69" t="str">
        <x:v>Serenity Series</x:v>
      </x:c>
      <x:c r="F163" s="69" t="str">
        <x:v>Hijab</x:v>
      </x:c>
      <x:c r="G163" s="69" t="str">
        <x:v>Dewasa</x:v>
      </x:c>
      <x:c r="H163" s="69" t="str">
        <x:v>Baru</x:v>
      </x:c>
      <x:c r="I163" s="84" t="n">
        <x:f>MINIFS(VARIAN_STOK!$H$2:$H$333,VARIAN_STOK!$D$2:$D$333,$A163)</x:f>
        <x:v>299000</x:v>
      </x:c>
      <x:c r="J163" s="84" t="n">
        <x:f>MAXIFS(VARIAN_STOK!$H$2:$H$333,VARIAN_STOK!$D$2:$D$333,$A163)</x:f>
        <x:v>299000</x:v>
      </x:c>
      <x:c r="K163" s="90" t="n">
        <x:f>SUMIF(VARIAN_STOK!$D$2:$D$333,$A163,VARIAN_STOK!$I$2:$I$333)</x:f>
        <x:v>2</x:v>
      </x:c>
      <x:c r="L163" s="90" t="n">
        <x:f>COUNTIF(VARIAN_STOK!$D$2:$D$333,$A163)</x:f>
        <x:v>2</x:v>
      </x:c>
      <x:c r="M163" s="69" t="str">
        <x:v>Blush, Yellow</x:v>
      </x:c>
      <x:c r="N163" s="69" t="str"/>
      <x:c r="O163" s="69" t="str"/>
      <x:c r="P163" s="69" t="str"/>
      <x:c r="Q163" s="69" t="str"/>
      <x:c r="R163" s="69" t="str"/>
      <x:c r="S163" s="69" t="str"/>
      <x:c r="T163" s="69" t="str"/>
      <x:c r="U163" s="69" t="str">
        <x:v>Tidak</x:v>
      </x:c>
      <x:c r="V163" s="69" t="str">
        <x:v>Tidak</x:v>
      </x:c>
      <x:c r="W163" s="69" t="str">
        <x:v>Aktif</x:v>
      </x:c>
      <x:c r="X163" s="70" t="str"/>
    </x:row>
    <x:row r="164">
      <x:c r="A164" s="96" t="str">
        <x:v>PRD0163</x:v>
      </x:c>
      <x:c r="B164" s="69" t="str">
        <x:v>kamila-wardrobe-della-set</x:v>
      </x:c>
      <x:c r="C164" s="102" t="n">
        <x:v>22</x:v>
      </x:c>
      <x:c r="D164" s="108" t="str">
        <x:v>KAMILA WARDROBE</x:v>
      </x:c>
      <x:c r="E164" s="69" t="str">
        <x:v>Della Set</x:v>
      </x:c>
      <x:c r="F164" s="69" t="str">
        <x:v>Set</x:v>
      </x:c>
      <x:c r="G164" s="69" t="str">
        <x:v>Dewasa</x:v>
      </x:c>
      <x:c r="H164" s="69" t="str">
        <x:v>Baru</x:v>
      </x:c>
      <x:c r="I164" s="84" t="n">
        <x:f>MINIFS(VARIAN_STOK!$H$2:$H$333,VARIAN_STOK!$D$2:$D$333,$A164)</x:f>
        <x:v>355000</x:v>
      </x:c>
      <x:c r="J164" s="84" t="n">
        <x:f>MAXIFS(VARIAN_STOK!$H$2:$H$333,VARIAN_STOK!$D$2:$D$333,$A164)</x:f>
        <x:v>355000</x:v>
      </x:c>
      <x:c r="K164" s="90" t="n">
        <x:f>SUMIF(VARIAN_STOK!$D$2:$D$333,$A164,VARIAN_STOK!$I$2:$I$333)</x:f>
        <x:v>2</x:v>
      </x:c>
      <x:c r="L164" s="90" t="n">
        <x:f>COUNTIF(VARIAN_STOK!$D$2:$D$333,$A164)</x:f>
        <x:v>2</x:v>
      </x:c>
      <x:c r="M164" s="69" t="str">
        <x:v>Black, Mahogany</x:v>
      </x:c>
      <x:c r="N164" s="69" t="str"/>
      <x:c r="O164" s="69" t="str"/>
      <x:c r="P164" s="69" t="str"/>
      <x:c r="Q164" s="69" t="str"/>
      <x:c r="R164" s="69" t="str"/>
      <x:c r="S164" s="69" t="str"/>
      <x:c r="T164" s="69" t="str"/>
      <x:c r="U164" s="69" t="str">
        <x:v>Tidak</x:v>
      </x:c>
      <x:c r="V164" s="69" t="str">
        <x:v>Tidak</x:v>
      </x:c>
      <x:c r="W164" s="69" t="str">
        <x:v>Aktif</x:v>
      </x:c>
      <x:c r="X164" s="70" t="str"/>
    </x:row>
    <x:row r="165">
      <x:c r="A165" s="96" t="str">
        <x:v>PRD0164</x:v>
      </x:c>
      <x:c r="B165" s="69" t="str">
        <x:v>kamila-wardrobe-sabiya-set</x:v>
      </x:c>
      <x:c r="C165" s="102" t="n">
        <x:v>22</x:v>
      </x:c>
      <x:c r="D165" s="108" t="str">
        <x:v>KAMILA WARDROBE</x:v>
      </x:c>
      <x:c r="E165" s="69" t="str">
        <x:v>Sabiya Set</x:v>
      </x:c>
      <x:c r="F165" s="69" t="str">
        <x:v>Set</x:v>
      </x:c>
      <x:c r="G165" s="69" t="str">
        <x:v>Dewasa</x:v>
      </x:c>
      <x:c r="H165" s="69" t="str">
        <x:v>Baru</x:v>
      </x:c>
      <x:c r="I165" s="84" t="n">
        <x:f>MINIFS(VARIAN_STOK!$H$2:$H$333,VARIAN_STOK!$D$2:$D$333,$A165)</x:f>
        <x:v>335000</x:v>
      </x:c>
      <x:c r="J165" s="84" t="n">
        <x:f>MAXIFS(VARIAN_STOK!$H$2:$H$333,VARIAN_STOK!$D$2:$D$333,$A165)</x:f>
        <x:v>335000</x:v>
      </x:c>
      <x:c r="K165" s="90" t="n">
        <x:f>SUMIF(VARIAN_STOK!$D$2:$D$333,$A165,VARIAN_STOK!$I$2:$I$333)</x:f>
        <x:v>1</x:v>
      </x:c>
      <x:c r="L165" s="90" t="n">
        <x:f>COUNTIF(VARIAN_STOK!$D$2:$D$333,$A165)</x:f>
        <x:v>1</x:v>
      </x:c>
      <x:c r="M165" s="69" t="str">
        <x:v>Sage</x:v>
      </x:c>
      <x:c r="N165" s="69" t="str"/>
      <x:c r="O165" s="69" t="str"/>
      <x:c r="P165" s="69" t="str"/>
      <x:c r="Q165" s="69" t="str"/>
      <x:c r="R165" s="69" t="str"/>
      <x:c r="S165" s="69" t="str"/>
      <x:c r="T165" s="69" t="str"/>
      <x:c r="U165" s="69" t="str">
        <x:v>Tidak</x:v>
      </x:c>
      <x:c r="V165" s="69" t="str">
        <x:v>Tidak</x:v>
      </x:c>
      <x:c r="W165" s="69" t="str">
        <x:v>Aktif</x:v>
      </x:c>
      <x:c r="X165" s="70" t="str"/>
    </x:row>
    <x:row r="166">
      <x:c r="A166" s="96" t="str">
        <x:v>PRD0165</x:v>
      </x:c>
      <x:c r="B166" s="69" t="str">
        <x:v>kamila-wardrobe-alur-koko</x:v>
      </x:c>
      <x:c r="C166" s="102" t="n">
        <x:v>22</x:v>
      </x:c>
      <x:c r="D166" s="108" t="str">
        <x:v>KAMILA WARDROBE</x:v>
      </x:c>
      <x:c r="E166" s="69" t="str">
        <x:v>Alur Koko</x:v>
      </x:c>
      <x:c r="F166" s="69" t="str">
        <x:v>Shirt</x:v>
      </x:c>
      <x:c r="G166" s="69" t="str">
        <x:v>Dewasa</x:v>
      </x:c>
      <x:c r="H166" s="69" t="str">
        <x:v>Baru</x:v>
      </x:c>
      <x:c r="I166" s="84" t="n">
        <x:f>MINIFS(VARIAN_STOK!$H$2:$H$333,VARIAN_STOK!$D$2:$D$333,$A166)</x:f>
        <x:v>425000</x:v>
      </x:c>
      <x:c r="J166" s="84" t="n">
        <x:f>MAXIFS(VARIAN_STOK!$H$2:$H$333,VARIAN_STOK!$D$2:$D$333,$A166)</x:f>
        <x:v>425000</x:v>
      </x:c>
      <x:c r="K166" s="90" t="n">
        <x:f>SUMIF(VARIAN_STOK!$D$2:$D$333,$A166,VARIAN_STOK!$I$2:$I$333)</x:f>
        <x:v>3</x:v>
      </x:c>
      <x:c r="L166" s="90" t="n">
        <x:f>COUNTIF(VARIAN_STOK!$D$2:$D$333,$A166)</x:f>
        <x:v>3</x:v>
      </x:c>
      <x:c r="M166" s="69" t="str">
        <x:v>Broken White, Powder Blue</x:v>
      </x:c>
      <x:c r="N166" s="69" t="str">
        <x:v>L, S</x:v>
      </x:c>
      <x:c r="O166" s="69" t="str"/>
      <x:c r="P166" s="69" t="str"/>
      <x:c r="Q166" s="69" t="str"/>
      <x:c r="R166" s="69" t="str"/>
      <x:c r="S166" s="69" t="str"/>
      <x:c r="T166" s="69" t="str"/>
      <x:c r="U166" s="69" t="str">
        <x:v>Tidak</x:v>
      </x:c>
      <x:c r="V166" s="69" t="str">
        <x:v>Tidak</x:v>
      </x:c>
      <x:c r="W166" s="69" t="str">
        <x:v>Aktif</x:v>
      </x:c>
      <x:c r="X166" s="70" t="str"/>
    </x:row>
    <x:row r="167">
      <x:c r="A167" s="97" t="str">
        <x:v>PRD0166</x:v>
      </x:c>
      <x:c r="B167" s="72" t="str">
        <x:v>kamila-wardrobe-alur-koko-kids</x:v>
      </x:c>
      <x:c r="C167" s="103" t="n">
        <x:v>22</x:v>
      </x:c>
      <x:c r="D167" s="109" t="str">
        <x:v>KAMILA WARDROBE</x:v>
      </x:c>
      <x:c r="E167" s="72" t="str">
        <x:v>Alur Koko Kids</x:v>
      </x:c>
      <x:c r="F167" s="72" t="str">
        <x:v>Shirt</x:v>
      </x:c>
      <x:c r="G167" s="72" t="str">
        <x:v>Anak</x:v>
      </x:c>
      <x:c r="H167" s="72" t="str">
        <x:v>Baru</x:v>
      </x:c>
      <x:c r="I167" s="85" t="n">
        <x:f>MINIFS(VARIAN_STOK!$H$2:$H$333,VARIAN_STOK!$D$2:$D$333,$A167)</x:f>
        <x:v>295000</x:v>
      </x:c>
      <x:c r="J167" s="85" t="n">
        <x:f>MAXIFS(VARIAN_STOK!$H$2:$H$333,VARIAN_STOK!$D$2:$D$333,$A167)</x:f>
        <x:v>295000</x:v>
      </x:c>
      <x:c r="K167" s="91" t="n">
        <x:f>SUMIF(VARIAN_STOK!$D$2:$D$333,$A167,VARIAN_STOK!$I$2:$I$333)</x:f>
        <x:v>2</x:v>
      </x:c>
      <x:c r="L167" s="91" t="n">
        <x:f>COUNTIF(VARIAN_STOK!$D$2:$D$333,$A167)</x:f>
        <x:v>2</x:v>
      </x:c>
      <x:c r="M167" s="72" t="str">
        <x:v>Broken White, Powder Blue</x:v>
      </x:c>
      <x:c r="N167" s="72" t="str">
        <x:v>XXL</x:v>
      </x:c>
      <x:c r="O167" s="72" t="str"/>
      <x:c r="P167" s="72" t="str"/>
      <x:c r="Q167" s="72" t="str"/>
      <x:c r="R167" s="72" t="str"/>
      <x:c r="S167" s="72" t="str"/>
      <x:c r="T167" s="72" t="str"/>
      <x:c r="U167" s="72" t="str">
        <x:v>Tidak</x:v>
      </x:c>
      <x:c r="V167" s="72" t="str">
        <x:v>Tidak</x:v>
      </x:c>
      <x:c r="W167" s="72" t="str">
        <x:v>Aktif</x:v>
      </x:c>
      <x:c r="X167" s="73" t="str"/>
    </x:row>
  </x:sheetData>
  <x:dataValidations count="6">
    <x:dataValidation type="list" sqref="F2:F167">
      <x:formula1>"Aksesoris,Bag,Blouse,Dress,Hijab,Outer,Pants,Set,Shirt,Shoes,Skirt,Sweater,Tunic,Vest"</x:formula1>
    </x:dataValidation>
    <x:dataValidation type="list" sqref="G2:G167">
      <x:formula1>"Dewasa,Anak,Campuran"</x:formula1>
    </x:dataValidation>
    <x:dataValidation type="list" sqref="H2:H167">
      <x:formula1>"Baru,Preloved"</x:formula1>
    </x:dataValidation>
    <x:dataValidation type="list" sqref="U2:U167">
      <x:formula1>"Ya,Tidak"</x:formula1>
    </x:dataValidation>
    <x:dataValidation type="list" sqref="V2:V167">
      <x:formula1>"Ya,Tidak"</x:formula1>
    </x:dataValidation>
    <x:dataValidation type="list" sqref="W2:W167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1e55556fbb47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13" hidden="0" customWidth="1"/>
    <x:col min="5" max="5" width="44" hidden="0" customWidth="1"/>
    <x:col min="6" max="6" width="24" hidden="0" customWidth="1"/>
    <x:col min="7" max="7" width="14" hidden="0" customWidth="1"/>
    <x:col min="8" max="8" width="16" hidden="0" customWidth="1"/>
    <x:col min="9" max="9" width="10" hidden="0" customWidth="1"/>
    <x:col min="10" max="10" width="16" hidden="0" customWidth="1"/>
    <x:col min="11" max="11" width="14" hidden="0" customWidth="1"/>
    <x:col min="12" max="12" width="16" hidden="0" customWidth="1"/>
    <x:col min="13" max="13" width="30" hidden="0" customWidth="1"/>
  </x:cols>
  <x:sheetData>
    <x:row r="1" ht="38" customHeight="1">
      <x:c r="A1" s="13" t="str">
        <x:v>SKU</x:v>
      </x:c>
      <x:c r="B1" s="14" t="str">
        <x:v>KODE_BRAND</x:v>
      </x:c>
      <x:c r="C1" s="14" t="str">
        <x:v>BRAND</x:v>
      </x:c>
      <x:c r="D1" s="14" t="str">
        <x:v>ID_PRODUK</x:v>
      </x:c>
      <x:c r="E1" s="14" t="str">
        <x:v>NAMA_BARANG_ASLI</x:v>
      </x:c>
      <x:c r="F1" s="14" t="str">
        <x:v>WARNA_MOTIF</x:v>
      </x:c>
      <x:c r="G1" s="14" t="str">
        <x:v>UKURAN</x:v>
      </x:c>
      <x:c r="H1" s="14" t="str">
        <x:v>HARGA</x:v>
      </x:c>
      <x:c r="I1" s="14" t="str">
        <x:v>STOK</x:v>
      </x:c>
      <x:c r="J1" s="14" t="str">
        <x:v>STATUS_STOK</x:v>
      </x:c>
      <x:c r="K1" s="14" t="str">
        <x:v>KATEGORI</x:v>
      </x:c>
      <x:c r="L1" s="14" t="str">
        <x:v>STATUS_TAYANG</x:v>
      </x:c>
      <x:c r="M1" s="15" t="str">
        <x:v>CATATAN</x:v>
      </x:c>
    </x:row>
    <x:row r="2">
      <x:c r="A2" s="95" t="str">
        <x:v>1M20365XX3</x:v>
      </x:c>
      <x:c r="B2" s="101" t="n">
        <x:v>1</x:v>
      </x:c>
      <x:c r="C2" s="107" t="str">
        <x:v>SENJA</x:v>
      </x:c>
      <x:c r="D2" s="66" t="str">
        <x:v>PRD0001</x:v>
      </x:c>
      <x:c r="E2" s="66" t="str">
        <x:v>Asha Dress Kids - Coklat (L)</x:v>
      </x:c>
      <x:c r="F2" s="66" t="str">
        <x:v>Coklat</x:v>
      </x:c>
      <x:c r="G2" s="66" t="str">
        <x:v>L</x:v>
      </x:c>
      <x:c r="H2" s="83" t="n">
        <x:v>319000</x:v>
      </x:c>
      <x:c r="I2" s="89" t="n">
        <x:v>3</x:v>
      </x:c>
      <x:c r="J2" s="66" t="str">
        <x:f>IF(I2&lt;=0,"Habis",IF(I2&lt;=2,"Stok Terbatas","Tersedia"))</x:f>
        <x:v>Tersedia</x:v>
      </x:c>
      <x:c r="K2" s="66" t="str">
        <x:v>Dress</x:v>
      </x:c>
      <x:c r="L2" s="66" t="str">
        <x:v>Aktif</x:v>
      </x:c>
      <x:c r="M2" s="67" t="str"/>
    </x:row>
    <x:row r="3">
      <x:c r="A3" s="96" t="str">
        <x:v>1M20384XX2</x:v>
      </x:c>
      <x:c r="B3" s="102" t="n">
        <x:v>1</x:v>
      </x:c>
      <x:c r="C3" s="108" t="str">
        <x:v>SENJA</x:v>
      </x:c>
      <x:c r="D3" s="69" t="str">
        <x:v>PRD0001</x:v>
      </x:c>
      <x:c r="E3" s="69" t="str">
        <x:v>Asha Dress Kids - Coklat (M)</x:v>
      </x:c>
      <x:c r="F3" s="69" t="str">
        <x:v>Coklat</x:v>
      </x:c>
      <x:c r="G3" s="69" t="str">
        <x:v>M</x:v>
      </x:c>
      <x:c r="H3" s="84" t="n">
        <x:v>319000</x:v>
      </x:c>
      <x:c r="I3" s="90" t="n">
        <x:v>2</x:v>
      </x:c>
      <x:c r="J3" s="69" t="str">
        <x:f>IF(I3&lt;=0,"Habis",IF(I3&lt;=2,"Stok Terbatas","Tersedia"))</x:f>
        <x:v>Stok Terbatas</x:v>
      </x:c>
      <x:c r="K3" s="69" t="str">
        <x:v>Dress</x:v>
      </x:c>
      <x:c r="L3" s="69" t="str">
        <x:v>Aktif</x:v>
      </x:c>
      <x:c r="M3" s="70" t="str"/>
    </x:row>
    <x:row r="4">
      <x:c r="A4" s="96" t="str">
        <x:v>1M20438XX1</x:v>
      </x:c>
      <x:c r="B4" s="102" t="n">
        <x:v>1</x:v>
      </x:c>
      <x:c r="C4" s="108" t="str">
        <x:v>SENJA</x:v>
      </x:c>
      <x:c r="D4" s="69" t="str">
        <x:v>PRD0001</x:v>
      </x:c>
      <x:c r="E4" s="69" t="str">
        <x:v>Asha Dress Kids - Coklat (S)</x:v>
      </x:c>
      <x:c r="F4" s="69" t="str">
        <x:v>Coklat</x:v>
      </x:c>
      <x:c r="G4" s="69" t="str">
        <x:v>S</x:v>
      </x:c>
      <x:c r="H4" s="84" t="n">
        <x:v>319000</x:v>
      </x:c>
      <x:c r="I4" s="90" t="n">
        <x:v>3</x:v>
      </x:c>
      <x:c r="J4" s="69" t="str">
        <x:f>IF(I4&lt;=0,"Habis",IF(I4&lt;=2,"Stok Terbatas","Tersedia"))</x:f>
        <x:v>Tersedia</x:v>
      </x:c>
      <x:c r="K4" s="69" t="str">
        <x:v>Dress</x:v>
      </x:c>
      <x:c r="L4" s="69" t="str">
        <x:v>Aktif</x:v>
      </x:c>
      <x:c r="M4" s="70" t="str"/>
    </x:row>
    <x:row r="5">
      <x:c r="A5" s="96" t="str">
        <x:v>1M20378XX3</x:v>
      </x:c>
      <x:c r="B5" s="102" t="n">
        <x:v>1</x:v>
      </x:c>
      <x:c r="C5" s="108" t="str">
        <x:v>SENJA</x:v>
      </x:c>
      <x:c r="D5" s="69" t="str">
        <x:v>PRD0001</x:v>
      </x:c>
      <x:c r="E5" s="69" t="str">
        <x:v>Asha Dress Kids - Putih (L)</x:v>
      </x:c>
      <x:c r="F5" s="69" t="str">
        <x:v>Putih</x:v>
      </x:c>
      <x:c r="G5" s="69" t="str">
        <x:v>L</x:v>
      </x:c>
      <x:c r="H5" s="84" t="n">
        <x:v>319000</x:v>
      </x:c>
      <x:c r="I5" s="90" t="n">
        <x:v>2</x:v>
      </x:c>
      <x:c r="J5" s="69" t="str">
        <x:f>IF(I5&lt;=0,"Habis",IF(I5&lt;=2,"Stok Terbatas","Tersedia"))</x:f>
        <x:v>Stok Terbatas</x:v>
      </x:c>
      <x:c r="K5" s="69" t="str">
        <x:v>Dress</x:v>
      </x:c>
      <x:c r="L5" s="69" t="str">
        <x:v>Aktif</x:v>
      </x:c>
      <x:c r="M5" s="70" t="str"/>
    </x:row>
    <x:row r="6">
      <x:c r="A6" s="96" t="str">
        <x:v>1M20377XX2</x:v>
      </x:c>
      <x:c r="B6" s="102" t="n">
        <x:v>1</x:v>
      </x:c>
      <x:c r="C6" s="108" t="str">
        <x:v>SENJA</x:v>
      </x:c>
      <x:c r="D6" s="69" t="str">
        <x:v>PRD0001</x:v>
      </x:c>
      <x:c r="E6" s="69" t="str">
        <x:v>Asha Dress Kids - Putih (M)</x:v>
      </x:c>
      <x:c r="F6" s="69" t="str">
        <x:v>Putih</x:v>
      </x:c>
      <x:c r="G6" s="69" t="str">
        <x:v>M</x:v>
      </x:c>
      <x:c r="H6" s="84" t="n">
        <x:v>319000</x:v>
      </x:c>
      <x:c r="I6" s="90" t="n">
        <x:v>3</x:v>
      </x:c>
      <x:c r="J6" s="69" t="str">
        <x:f>IF(I6&lt;=0,"Habis",IF(I6&lt;=2,"Stok Terbatas","Tersedia"))</x:f>
        <x:v>Tersedia</x:v>
      </x:c>
      <x:c r="K6" s="69" t="str">
        <x:v>Dress</x:v>
      </x:c>
      <x:c r="L6" s="69" t="str">
        <x:v>Aktif</x:v>
      </x:c>
      <x:c r="M6" s="70" t="str"/>
    </x:row>
    <x:row r="7">
      <x:c r="A7" s="96" t="str">
        <x:v>1M20367XX3</x:v>
      </x:c>
      <x:c r="B7" s="102" t="n">
        <x:v>1</x:v>
      </x:c>
      <x:c r="C7" s="108" t="str">
        <x:v>SENJA</x:v>
      </x:c>
      <x:c r="D7" s="69" t="str">
        <x:v>PRD0001</x:v>
      </x:c>
      <x:c r="E7" s="69" t="str">
        <x:v>Asha Dress Kids - Salem (L)</x:v>
      </x:c>
      <x:c r="F7" s="69" t="str">
        <x:v>Salem</x:v>
      </x:c>
      <x:c r="G7" s="69" t="str">
        <x:v>L</x:v>
      </x:c>
      <x:c r="H7" s="84" t="n">
        <x:v>319000</x:v>
      </x:c>
      <x:c r="I7" s="90" t="n">
        <x:v>1</x:v>
      </x:c>
      <x:c r="J7" s="69" t="str">
        <x:f>IF(I7&lt;=0,"Habis",IF(I7&lt;=2,"Stok Terbatas","Tersedia"))</x:f>
        <x:v>Stok Terbatas</x:v>
      </x:c>
      <x:c r="K7" s="69" t="str">
        <x:v>Dress</x:v>
      </x:c>
      <x:c r="L7" s="69" t="str">
        <x:v>Aktif</x:v>
      </x:c>
      <x:c r="M7" s="70" t="str"/>
    </x:row>
    <x:row r="8">
      <x:c r="A8" s="96" t="str">
        <x:v>1M20366XX2</x:v>
      </x:c>
      <x:c r="B8" s="102" t="n">
        <x:v>1</x:v>
      </x:c>
      <x:c r="C8" s="108" t="str">
        <x:v>SENJA</x:v>
      </x:c>
      <x:c r="D8" s="69" t="str">
        <x:v>PRD0001</x:v>
      </x:c>
      <x:c r="E8" s="69" t="str">
        <x:v>Asha Dress Kids - Salem (M)</x:v>
      </x:c>
      <x:c r="F8" s="69" t="str">
        <x:v>Salem</x:v>
      </x:c>
      <x:c r="G8" s="69" t="str">
        <x:v>M</x:v>
      </x:c>
      <x:c r="H8" s="84" t="n">
        <x:v>319000</x:v>
      </x:c>
      <x:c r="I8" s="90" t="n">
        <x:v>3</x:v>
      </x:c>
      <x:c r="J8" s="69" t="str">
        <x:f>IF(I8&lt;=0,"Habis",IF(I8&lt;=2,"Stok Terbatas","Tersedia"))</x:f>
        <x:v>Tersedia</x:v>
      </x:c>
      <x:c r="K8" s="69" t="str">
        <x:v>Dress</x:v>
      </x:c>
      <x:c r="L8" s="69" t="str">
        <x:v>Aktif</x:v>
      </x:c>
      <x:c r="M8" s="70" t="str"/>
    </x:row>
    <x:row r="9">
      <x:c r="A9" s="96" t="str">
        <x:v>1M20440XX1</x:v>
      </x:c>
      <x:c r="B9" s="102" t="n">
        <x:v>1</x:v>
      </x:c>
      <x:c r="C9" s="108" t="str">
        <x:v>SENJA</x:v>
      </x:c>
      <x:c r="D9" s="69" t="str">
        <x:v>PRD0001</x:v>
      </x:c>
      <x:c r="E9" s="69" t="str">
        <x:v>Asha Dress Kids - Salem (S)</x:v>
      </x:c>
      <x:c r="F9" s="69" t="str">
        <x:v>Salem</x:v>
      </x:c>
      <x:c r="G9" s="69" t="str">
        <x:v>S</x:v>
      </x:c>
      <x:c r="H9" s="84" t="n">
        <x:v>319000</x:v>
      </x:c>
      <x:c r="I9" s="90" t="n">
        <x:v>1</x:v>
      </x:c>
      <x:c r="J9" s="69" t="str">
        <x:f>IF(I9&lt;=0,"Habis",IF(I9&lt;=2,"Stok Terbatas","Tersedia"))</x:f>
        <x:v>Stok Terbatas</x:v>
      </x:c>
      <x:c r="K9" s="69" t="str">
        <x:v>Dress</x:v>
      </x:c>
      <x:c r="L9" s="69" t="str">
        <x:v>Aktif</x:v>
      </x:c>
      <x:c r="M9" s="70" t="str"/>
    </x:row>
    <x:row r="10">
      <x:c r="A10" s="96" t="str">
        <x:v>1M20371XX3</x:v>
      </x:c>
      <x:c r="B10" s="102" t="n">
        <x:v>1</x:v>
      </x:c>
      <x:c r="C10" s="108" t="str">
        <x:v>SENJA</x:v>
      </x:c>
      <x:c r="D10" s="69" t="str">
        <x:v>PRD0001</x:v>
      </x:c>
      <x:c r="E10" s="69" t="str">
        <x:v>Asha Dress Kids - Taupe (L)</x:v>
      </x:c>
      <x:c r="F10" s="69" t="str">
        <x:v>Taupe</x:v>
      </x:c>
      <x:c r="G10" s="69" t="str">
        <x:v>L</x:v>
      </x:c>
      <x:c r="H10" s="84" t="n">
        <x:v>319000</x:v>
      </x:c>
      <x:c r="I10" s="90" t="n">
        <x:v>3</x:v>
      </x:c>
      <x:c r="J10" s="69" t="str">
        <x:f>IF(I10&lt;=0,"Habis",IF(I10&lt;=2,"Stok Terbatas","Tersedia"))</x:f>
        <x:v>Tersedia</x:v>
      </x:c>
      <x:c r="K10" s="69" t="str">
        <x:v>Dress</x:v>
      </x:c>
      <x:c r="L10" s="69" t="str">
        <x:v>Aktif</x:v>
      </x:c>
      <x:c r="M10" s="70" t="str"/>
    </x:row>
    <x:row r="11">
      <x:c r="A11" s="96" t="str">
        <x:v>1M20441XX1</x:v>
      </x:c>
      <x:c r="B11" s="102" t="n">
        <x:v>1</x:v>
      </x:c>
      <x:c r="C11" s="108" t="str">
        <x:v>SENJA</x:v>
      </x:c>
      <x:c r="D11" s="69" t="str">
        <x:v>PRD0001</x:v>
      </x:c>
      <x:c r="E11" s="69" t="str">
        <x:v>Asha Dress Kids - Taupe (S)</x:v>
      </x:c>
      <x:c r="F11" s="69" t="str">
        <x:v>Taupe</x:v>
      </x:c>
      <x:c r="G11" s="69" t="str">
        <x:v>S</x:v>
      </x:c>
      <x:c r="H11" s="84" t="n">
        <x:v>319000</x:v>
      </x:c>
      <x:c r="I11" s="90" t="n">
        <x:v>2</x:v>
      </x:c>
      <x:c r="J11" s="69" t="str">
        <x:f>IF(I11&lt;=0,"Habis",IF(I11&lt;=2,"Stok Terbatas","Tersedia"))</x:f>
        <x:v>Stok Terbatas</x:v>
      </x:c>
      <x:c r="K11" s="69" t="str">
        <x:v>Dress</x:v>
      </x:c>
      <x:c r="L11" s="69" t="str">
        <x:v>Aktif</x:v>
      </x:c>
      <x:c r="M11" s="70" t="str"/>
    </x:row>
    <x:row r="12">
      <x:c r="A12" s="96" t="str">
        <x:v>1M20372XX2</x:v>
      </x:c>
      <x:c r="B12" s="102" t="n">
        <x:v>1</x:v>
      </x:c>
      <x:c r="C12" s="108" t="str">
        <x:v>SENJA</x:v>
      </x:c>
      <x:c r="D12" s="69" t="str">
        <x:v>PRD0001</x:v>
      </x:c>
      <x:c r="E12" s="69" t="str">
        <x:v>Asha Dress Kids - Ungu (M)</x:v>
      </x:c>
      <x:c r="F12" s="69" t="str">
        <x:v>Ungu</x:v>
      </x:c>
      <x:c r="G12" s="69" t="str">
        <x:v>M</x:v>
      </x:c>
      <x:c r="H12" s="84" t="n">
        <x:v>319000</x:v>
      </x:c>
      <x:c r="I12" s="90" t="n">
        <x:v>2</x:v>
      </x:c>
      <x:c r="J12" s="69" t="str">
        <x:f>IF(I12&lt;=0,"Habis",IF(I12&lt;=2,"Stok Terbatas","Tersedia"))</x:f>
        <x:v>Stok Terbatas</x:v>
      </x:c>
      <x:c r="K12" s="69" t="str">
        <x:v>Dress</x:v>
      </x:c>
      <x:c r="L12" s="69" t="str">
        <x:v>Aktif</x:v>
      </x:c>
      <x:c r="M12" s="70" t="str"/>
    </x:row>
    <x:row r="13">
      <x:c r="A13" s="96" t="str">
        <x:v>1M30346XY3</x:v>
      </x:c>
      <x:c r="B13" s="102" t="n">
        <x:v>1</x:v>
      </x:c>
      <x:c r="C13" s="108" t="str">
        <x:v>SENJA</x:v>
      </x:c>
      <x:c r="D13" s="69" t="str">
        <x:v>PRD0003</x:v>
      </x:c>
      <x:c r="E13" s="69" t="str">
        <x:v>Asha Koko Kids - Coklat (L)</x:v>
      </x:c>
      <x:c r="F13" s="69" t="str">
        <x:v>Coklat</x:v>
      </x:c>
      <x:c r="G13" s="69" t="str">
        <x:v>L</x:v>
      </x:c>
      <x:c r="H13" s="84" t="n">
        <x:v>299000</x:v>
      </x:c>
      <x:c r="I13" s="90" t="n">
        <x:v>2</x:v>
      </x:c>
      <x:c r="J13" s="69" t="str">
        <x:f>IF(I13&lt;=0,"Habis",IF(I13&lt;=2,"Stok Terbatas","Tersedia"))</x:f>
        <x:v>Stok Terbatas</x:v>
      </x:c>
      <x:c r="K13" s="69" t="str">
        <x:v>Shirt</x:v>
      </x:c>
      <x:c r="L13" s="69" t="str">
        <x:v>Aktif</x:v>
      </x:c>
      <x:c r="M13" s="70" t="str"/>
    </x:row>
    <x:row r="14">
      <x:c r="A14" s="96" t="str">
        <x:v>1M30345XY2</x:v>
      </x:c>
      <x:c r="B14" s="102" t="n">
        <x:v>1</x:v>
      </x:c>
      <x:c r="C14" s="108" t="str">
        <x:v>SENJA</x:v>
      </x:c>
      <x:c r="D14" s="69" t="str">
        <x:v>PRD0003</x:v>
      </x:c>
      <x:c r="E14" s="69" t="str">
        <x:v>Asha Koko Kids - Coklat (M)</x:v>
      </x:c>
      <x:c r="F14" s="69" t="str">
        <x:v>Coklat</x:v>
      </x:c>
      <x:c r="G14" s="69" t="str">
        <x:v>M</x:v>
      </x:c>
      <x:c r="H14" s="84" t="n">
        <x:v>299000</x:v>
      </x:c>
      <x:c r="I14" s="90" t="n">
        <x:v>2</x:v>
      </x:c>
      <x:c r="J14" s="69" t="str">
        <x:f>IF(I14&lt;=0,"Habis",IF(I14&lt;=2,"Stok Terbatas","Tersedia"))</x:f>
        <x:v>Stok Terbatas</x:v>
      </x:c>
      <x:c r="K14" s="69" t="str">
        <x:v>Shirt</x:v>
      </x:c>
      <x:c r="L14" s="69" t="str">
        <x:v>Aktif</x:v>
      </x:c>
      <x:c r="M14" s="70" t="str"/>
    </x:row>
    <x:row r="15">
      <x:c r="A15" s="96" t="str">
        <x:v>1M30344XY1</x:v>
      </x:c>
      <x:c r="B15" s="102" t="n">
        <x:v>1</x:v>
      </x:c>
      <x:c r="C15" s="108" t="str">
        <x:v>SENJA</x:v>
      </x:c>
      <x:c r="D15" s="69" t="str">
        <x:v>PRD0003</x:v>
      </x:c>
      <x:c r="E15" s="69" t="str">
        <x:v>Asha Koko Kids - Coklat (S)</x:v>
      </x:c>
      <x:c r="F15" s="69" t="str">
        <x:v>Coklat</x:v>
      </x:c>
      <x:c r="G15" s="69" t="str">
        <x:v>S</x:v>
      </x:c>
      <x:c r="H15" s="84" t="n">
        <x:v>299000</x:v>
      </x:c>
      <x:c r="I15" s="90" t="n">
        <x:v>3</x:v>
      </x:c>
      <x:c r="J15" s="69" t="str">
        <x:f>IF(I15&lt;=0,"Habis",IF(I15&lt;=2,"Stok Terbatas","Tersedia"))</x:f>
        <x:v>Tersedia</x:v>
      </x:c>
      <x:c r="K15" s="69" t="str">
        <x:v>Shirt</x:v>
      </x:c>
      <x:c r="L15" s="69" t="str">
        <x:v>Aktif</x:v>
      </x:c>
      <x:c r="M15" s="70" t="str"/>
    </x:row>
    <x:row r="16">
      <x:c r="A16" s="96" t="str">
        <x:v>1M30349XY3</x:v>
      </x:c>
      <x:c r="B16" s="102" t="n">
        <x:v>1</x:v>
      </x:c>
      <x:c r="C16" s="108" t="str">
        <x:v>SENJA</x:v>
      </x:c>
      <x:c r="D16" s="69" t="str">
        <x:v>PRD0003</x:v>
      </x:c>
      <x:c r="E16" s="69" t="str">
        <x:v>Asha Koko Kids - Putih (L)</x:v>
      </x:c>
      <x:c r="F16" s="69" t="str">
        <x:v>Putih</x:v>
      </x:c>
      <x:c r="G16" s="69" t="str">
        <x:v>L</x:v>
      </x:c>
      <x:c r="H16" s="84" t="n">
        <x:v>299000</x:v>
      </x:c>
      <x:c r="I16" s="90" t="n">
        <x:v>3</x:v>
      </x:c>
      <x:c r="J16" s="69" t="str">
        <x:f>IF(I16&lt;=0,"Habis",IF(I16&lt;=2,"Stok Terbatas","Tersedia"))</x:f>
        <x:v>Tersedia</x:v>
      </x:c>
      <x:c r="K16" s="69" t="str">
        <x:v>Shirt</x:v>
      </x:c>
      <x:c r="L16" s="69" t="str">
        <x:v>Aktif</x:v>
      </x:c>
      <x:c r="M16" s="70" t="str"/>
    </x:row>
    <x:row r="17">
      <x:c r="A17" s="96" t="str">
        <x:v>1M30348XY2</x:v>
      </x:c>
      <x:c r="B17" s="102" t="n">
        <x:v>1</x:v>
      </x:c>
      <x:c r="C17" s="108" t="str">
        <x:v>SENJA</x:v>
      </x:c>
      <x:c r="D17" s="69" t="str">
        <x:v>PRD0003</x:v>
      </x:c>
      <x:c r="E17" s="69" t="str">
        <x:v>Asha Koko Kids - Putih (M)</x:v>
      </x:c>
      <x:c r="F17" s="69" t="str">
        <x:v>Putih</x:v>
      </x:c>
      <x:c r="G17" s="69" t="str">
        <x:v>M</x:v>
      </x:c>
      <x:c r="H17" s="84" t="n">
        <x:v>299000</x:v>
      </x:c>
      <x:c r="I17" s="90" t="n">
        <x:v>3</x:v>
      </x:c>
      <x:c r="J17" s="69" t="str">
        <x:f>IF(I17&lt;=0,"Habis",IF(I17&lt;=2,"Stok Terbatas","Tersedia"))</x:f>
        <x:v>Tersedia</x:v>
      </x:c>
      <x:c r="K17" s="69" t="str">
        <x:v>Shirt</x:v>
      </x:c>
      <x:c r="L17" s="69" t="str">
        <x:v>Aktif</x:v>
      </x:c>
      <x:c r="M17" s="70" t="str"/>
    </x:row>
    <x:row r="18">
      <x:c r="A18" s="96" t="str">
        <x:v>1M30347XY1</x:v>
      </x:c>
      <x:c r="B18" s="102" t="n">
        <x:v>1</x:v>
      </x:c>
      <x:c r="C18" s="108" t="str">
        <x:v>SENJA</x:v>
      </x:c>
      <x:c r="D18" s="69" t="str">
        <x:v>PRD0003</x:v>
      </x:c>
      <x:c r="E18" s="69" t="str">
        <x:v>Asha Koko Kids - Putih (S)</x:v>
      </x:c>
      <x:c r="F18" s="69" t="str">
        <x:v>Putih</x:v>
      </x:c>
      <x:c r="G18" s="69" t="str">
        <x:v>S</x:v>
      </x:c>
      <x:c r="H18" s="84" t="n">
        <x:v>299000</x:v>
      </x:c>
      <x:c r="I18" s="90" t="n">
        <x:v>3</x:v>
      </x:c>
      <x:c r="J18" s="69" t="str">
        <x:f>IF(I18&lt;=0,"Habis",IF(I18&lt;=2,"Stok Terbatas","Tersedia"))</x:f>
        <x:v>Tersedia</x:v>
      </x:c>
      <x:c r="K18" s="69" t="str">
        <x:v>Shirt</x:v>
      </x:c>
      <x:c r="L18" s="69" t="str">
        <x:v>Aktif</x:v>
      </x:c>
      <x:c r="M18" s="70" t="str"/>
    </x:row>
    <x:row r="19">
      <x:c r="A19" s="96" t="str">
        <x:v>1M30445XY3</x:v>
      </x:c>
      <x:c r="B19" s="102" t="n">
        <x:v>1</x:v>
      </x:c>
      <x:c r="C19" s="108" t="str">
        <x:v>SENJA</x:v>
      </x:c>
      <x:c r="D19" s="69" t="str">
        <x:v>PRD0003</x:v>
      </x:c>
      <x:c r="E19" s="69" t="str">
        <x:v>Asha Koko Kids - Salem (L)</x:v>
      </x:c>
      <x:c r="F19" s="69" t="str">
        <x:v>Salem</x:v>
      </x:c>
      <x:c r="G19" s="69" t="str">
        <x:v>L</x:v>
      </x:c>
      <x:c r="H19" s="84" t="n">
        <x:v>299000</x:v>
      </x:c>
      <x:c r="I19" s="90" t="n">
        <x:v>3</x:v>
      </x:c>
      <x:c r="J19" s="69" t="str">
        <x:f>IF(I19&lt;=0,"Habis",IF(I19&lt;=2,"Stok Terbatas","Tersedia"))</x:f>
        <x:v>Tersedia</x:v>
      </x:c>
      <x:c r="K19" s="69" t="str">
        <x:v>Shirt</x:v>
      </x:c>
      <x:c r="L19" s="69" t="str">
        <x:v>Aktif</x:v>
      </x:c>
      <x:c r="M19" s="70" t="str"/>
    </x:row>
    <x:row r="20">
      <x:c r="A20" s="96" t="str">
        <x:v>1M30444XY2</x:v>
      </x:c>
      <x:c r="B20" s="102" t="n">
        <x:v>1</x:v>
      </x:c>
      <x:c r="C20" s="108" t="str">
        <x:v>SENJA</x:v>
      </x:c>
      <x:c r="D20" s="69" t="str">
        <x:v>PRD0003</x:v>
      </x:c>
      <x:c r="E20" s="69" t="str">
        <x:v>Asha Koko Kids - Salem (M)</x:v>
      </x:c>
      <x:c r="F20" s="69" t="str">
        <x:v>Salem</x:v>
      </x:c>
      <x:c r="G20" s="69" t="str">
        <x:v>M</x:v>
      </x:c>
      <x:c r="H20" s="84" t="n">
        <x:v>299000</x:v>
      </x:c>
      <x:c r="I20" s="90" t="n">
        <x:v>2</x:v>
      </x:c>
      <x:c r="J20" s="69" t="str">
        <x:f>IF(I20&lt;=0,"Habis",IF(I20&lt;=2,"Stok Terbatas","Tersedia"))</x:f>
        <x:v>Stok Terbatas</x:v>
      </x:c>
      <x:c r="K20" s="69" t="str">
        <x:v>Shirt</x:v>
      </x:c>
      <x:c r="L20" s="69" t="str">
        <x:v>Aktif</x:v>
      </x:c>
      <x:c r="M20" s="70" t="str"/>
    </x:row>
    <x:row r="21">
      <x:c r="A21" s="96" t="str">
        <x:v>1M30443XY1</x:v>
      </x:c>
      <x:c r="B21" s="102" t="n">
        <x:v>1</x:v>
      </x:c>
      <x:c r="C21" s="108" t="str">
        <x:v>SENJA</x:v>
      </x:c>
      <x:c r="D21" s="69" t="str">
        <x:v>PRD0003</x:v>
      </x:c>
      <x:c r="E21" s="69" t="str">
        <x:v>Asha Koko Kids - Salem (S)</x:v>
      </x:c>
      <x:c r="F21" s="69" t="str">
        <x:v>Salem</x:v>
      </x:c>
      <x:c r="G21" s="69" t="str">
        <x:v>S</x:v>
      </x:c>
      <x:c r="H21" s="84" t="n">
        <x:v>299000</x:v>
      </x:c>
      <x:c r="I21" s="90" t="n">
        <x:v>3</x:v>
      </x:c>
      <x:c r="J21" s="69" t="str">
        <x:f>IF(I21&lt;=0,"Habis",IF(I21&lt;=2,"Stok Terbatas","Tersedia"))</x:f>
        <x:v>Tersedia</x:v>
      </x:c>
      <x:c r="K21" s="69" t="str">
        <x:v>Shirt</x:v>
      </x:c>
      <x:c r="L21" s="69" t="str">
        <x:v>Aktif</x:v>
      </x:c>
      <x:c r="M21" s="70" t="str"/>
    </x:row>
    <x:row r="22">
      <x:c r="A22" s="96" t="str">
        <x:v>1M30352XY3</x:v>
      </x:c>
      <x:c r="B22" s="102" t="n">
        <x:v>1</x:v>
      </x:c>
      <x:c r="C22" s="108" t="str">
        <x:v>SENJA</x:v>
      </x:c>
      <x:c r="D22" s="69" t="str">
        <x:v>PRD0003</x:v>
      </x:c>
      <x:c r="E22" s="69" t="str">
        <x:v>Asha Koko Kids - Taupe (L)</x:v>
      </x:c>
      <x:c r="F22" s="69" t="str">
        <x:v>Taupe</x:v>
      </x:c>
      <x:c r="G22" s="69" t="str">
        <x:v>L</x:v>
      </x:c>
      <x:c r="H22" s="84" t="n">
        <x:v>299000</x:v>
      </x:c>
      <x:c r="I22" s="90" t="n">
        <x:v>3</x:v>
      </x:c>
      <x:c r="J22" s="69" t="str">
        <x:f>IF(I22&lt;=0,"Habis",IF(I22&lt;=2,"Stok Terbatas","Tersedia"))</x:f>
        <x:v>Tersedia</x:v>
      </x:c>
      <x:c r="K22" s="69" t="str">
        <x:v>Shirt</x:v>
      </x:c>
      <x:c r="L22" s="69" t="str">
        <x:v>Aktif</x:v>
      </x:c>
      <x:c r="M22" s="70" t="str"/>
    </x:row>
    <x:row r="23">
      <x:c r="A23" s="96" t="str">
        <x:v>1M30351XY2</x:v>
      </x:c>
      <x:c r="B23" s="102" t="n">
        <x:v>1</x:v>
      </x:c>
      <x:c r="C23" s="108" t="str">
        <x:v>SENJA</x:v>
      </x:c>
      <x:c r="D23" s="69" t="str">
        <x:v>PRD0003</x:v>
      </x:c>
      <x:c r="E23" s="69" t="str">
        <x:v>Asha Koko Kids - Taupe (M)</x:v>
      </x:c>
      <x:c r="F23" s="69" t="str">
        <x:v>Taupe</x:v>
      </x:c>
      <x:c r="G23" s="69" t="str">
        <x:v>M</x:v>
      </x:c>
      <x:c r="H23" s="84" t="n">
        <x:v>299000</x:v>
      </x:c>
      <x:c r="I23" s="90" t="n">
        <x:v>3</x:v>
      </x:c>
      <x:c r="J23" s="69" t="str">
        <x:f>IF(I23&lt;=0,"Habis",IF(I23&lt;=2,"Stok Terbatas","Tersedia"))</x:f>
        <x:v>Tersedia</x:v>
      </x:c>
      <x:c r="K23" s="69" t="str">
        <x:v>Shirt</x:v>
      </x:c>
      <x:c r="L23" s="69" t="str">
        <x:v>Aktif</x:v>
      </x:c>
      <x:c r="M23" s="70" t="str"/>
    </x:row>
    <x:row r="24">
      <x:c r="A24" s="96" t="str">
        <x:v>1M30350XY1</x:v>
      </x:c>
      <x:c r="B24" s="102" t="n">
        <x:v>1</x:v>
      </x:c>
      <x:c r="C24" s="108" t="str">
        <x:v>SENJA</x:v>
      </x:c>
      <x:c r="D24" s="69" t="str">
        <x:v>PRD0003</x:v>
      </x:c>
      <x:c r="E24" s="69" t="str">
        <x:v>Asha Koko Kids - Taupe (S)</x:v>
      </x:c>
      <x:c r="F24" s="69" t="str">
        <x:v>Taupe</x:v>
      </x:c>
      <x:c r="G24" s="69" t="str">
        <x:v>S</x:v>
      </x:c>
      <x:c r="H24" s="84" t="n">
        <x:v>299000</x:v>
      </x:c>
      <x:c r="I24" s="90" t="n">
        <x:v>2</x:v>
      </x:c>
      <x:c r="J24" s="69" t="str">
        <x:f>IF(I24&lt;=0,"Habis",IF(I24&lt;=2,"Stok Terbatas","Tersedia"))</x:f>
        <x:v>Stok Terbatas</x:v>
      </x:c>
      <x:c r="K24" s="69" t="str">
        <x:v>Shirt</x:v>
      </x:c>
      <x:c r="L24" s="69" t="str">
        <x:v>Aktif</x:v>
      </x:c>
      <x:c r="M24" s="70" t="str"/>
    </x:row>
    <x:row r="25">
      <x:c r="A25" s="96" t="str">
        <x:v>1M30448XY3</x:v>
      </x:c>
      <x:c r="B25" s="102" t="n">
        <x:v>1</x:v>
      </x:c>
      <x:c r="C25" s="108" t="str">
        <x:v>SENJA</x:v>
      </x:c>
      <x:c r="D25" s="69" t="str">
        <x:v>PRD0003</x:v>
      </x:c>
      <x:c r="E25" s="69" t="str">
        <x:v>Asha Koko Kids - Ungu (L)</x:v>
      </x:c>
      <x:c r="F25" s="69" t="str">
        <x:v>Ungu</x:v>
      </x:c>
      <x:c r="G25" s="69" t="str">
        <x:v>L</x:v>
      </x:c>
      <x:c r="H25" s="84" t="n">
        <x:v>299000</x:v>
      </x:c>
      <x:c r="I25" s="90" t="n">
        <x:v>1</x:v>
      </x:c>
      <x:c r="J25" s="69" t="str">
        <x:f>IF(I25&lt;=0,"Habis",IF(I25&lt;=2,"Stok Terbatas","Tersedia"))</x:f>
        <x:v>Stok Terbatas</x:v>
      </x:c>
      <x:c r="K25" s="69" t="str">
        <x:v>Shirt</x:v>
      </x:c>
      <x:c r="L25" s="69" t="str">
        <x:v>Aktif</x:v>
      </x:c>
      <x:c r="M25" s="70" t="str"/>
    </x:row>
    <x:row r="26">
      <x:c r="A26" s="96" t="str">
        <x:v>1M30447XY2</x:v>
      </x:c>
      <x:c r="B26" s="102" t="n">
        <x:v>1</x:v>
      </x:c>
      <x:c r="C26" s="108" t="str">
        <x:v>SENJA</x:v>
      </x:c>
      <x:c r="D26" s="69" t="str">
        <x:v>PRD0003</x:v>
      </x:c>
      <x:c r="E26" s="69" t="str">
        <x:v>Asha Koko Kids - Ungu (M)</x:v>
      </x:c>
      <x:c r="F26" s="69" t="str">
        <x:v>Ungu</x:v>
      </x:c>
      <x:c r="G26" s="69" t="str">
        <x:v>M</x:v>
      </x:c>
      <x:c r="H26" s="84" t="n">
        <x:v>299000</x:v>
      </x:c>
      <x:c r="I26" s="90" t="n">
        <x:v>3</x:v>
      </x:c>
      <x:c r="J26" s="69" t="str">
        <x:f>IF(I26&lt;=0,"Habis",IF(I26&lt;=2,"Stok Terbatas","Tersedia"))</x:f>
        <x:v>Tersedia</x:v>
      </x:c>
      <x:c r="K26" s="69" t="str">
        <x:v>Shirt</x:v>
      </x:c>
      <x:c r="L26" s="69" t="str">
        <x:v>Aktif</x:v>
      </x:c>
      <x:c r="M26" s="70" t="str"/>
    </x:row>
    <x:row r="27">
      <x:c r="A27" s="96" t="str">
        <x:v>1M30446XY1</x:v>
      </x:c>
      <x:c r="B27" s="102" t="n">
        <x:v>1</x:v>
      </x:c>
      <x:c r="C27" s="108" t="str">
        <x:v>SENJA</x:v>
      </x:c>
      <x:c r="D27" s="69" t="str">
        <x:v>PRD0003</x:v>
      </x:c>
      <x:c r="E27" s="69" t="str">
        <x:v>Asha Koko Kids - Ungu (S)</x:v>
      </x:c>
      <x:c r="F27" s="69" t="str">
        <x:v>Ungu</x:v>
      </x:c>
      <x:c r="G27" s="69" t="str">
        <x:v>S</x:v>
      </x:c>
      <x:c r="H27" s="84" t="n">
        <x:v>299000</x:v>
      </x:c>
      <x:c r="I27" s="90" t="n">
        <x:v>3</x:v>
      </x:c>
      <x:c r="J27" s="69" t="str">
        <x:f>IF(I27&lt;=0,"Habis",IF(I27&lt;=2,"Stok Terbatas","Tersedia"))</x:f>
        <x:v>Tersedia</x:v>
      </x:c>
      <x:c r="K27" s="69" t="str">
        <x:v>Shirt</x:v>
      </x:c>
      <x:c r="L27" s="69" t="str">
        <x:v>Aktif</x:v>
      </x:c>
      <x:c r="M27" s="70" t="str"/>
    </x:row>
    <x:row r="28">
      <x:c r="A28" s="96" t="str">
        <x:v>1M20002X2</x:v>
      </x:c>
      <x:c r="B28" s="102" t="n">
        <x:v>1</x:v>
      </x:c>
      <x:c r="C28" s="108" t="str">
        <x:v>SENJA</x:v>
      </x:c>
      <x:c r="D28" s="69" t="str">
        <x:v>PRD0002</x:v>
      </x:c>
      <x:c r="E28" s="69" t="str">
        <x:v>Dress Kids - Maison de Serein (Biru Muda) / M</x:v>
      </x:c>
      <x:c r="F28" s="69" t="str">
        <x:v>Biru Muda</x:v>
      </x:c>
      <x:c r="G28" s="69" t="str">
        <x:v>M</x:v>
      </x:c>
      <x:c r="H28" s="84" t="n">
        <x:v>329000</x:v>
      </x:c>
      <x:c r="I28" s="90" t="n">
        <x:v>2</x:v>
      </x:c>
      <x:c r="J28" s="69" t="str">
        <x:f>IF(I28&lt;=0,"Habis",IF(I28&lt;=2,"Stok Terbatas","Tersedia"))</x:f>
        <x:v>Stok Terbatas</x:v>
      </x:c>
      <x:c r="K28" s="69" t="str">
        <x:v>Dress</x:v>
      </x:c>
      <x:c r="L28" s="69" t="str">
        <x:v>Aktif</x:v>
      </x:c>
      <x:c r="M28" s="70" t="str"/>
    </x:row>
    <x:row r="29">
      <x:c r="A29" s="96" t="str">
        <x:v>1M20003X3</x:v>
      </x:c>
      <x:c r="B29" s="102" t="n">
        <x:v>1</x:v>
      </x:c>
      <x:c r="C29" s="108" t="str">
        <x:v>SENJA</x:v>
      </x:c>
      <x:c r="D29" s="69" t="str">
        <x:v>PRD0002</x:v>
      </x:c>
      <x:c r="E29" s="69" t="str">
        <x:v>Dress Kids - Maison de Serein (Choco Taupe) / L</x:v>
      </x:c>
      <x:c r="F29" s="69" t="str">
        <x:v>Choco Taupe</x:v>
      </x:c>
      <x:c r="G29" s="69" t="str">
        <x:v>L</x:v>
      </x:c>
      <x:c r="H29" s="84" t="n">
        <x:v>329000</x:v>
      </x:c>
      <x:c r="I29" s="90" t="n">
        <x:v>2</x:v>
      </x:c>
      <x:c r="J29" s="69" t="str">
        <x:f>IF(I29&lt;=0,"Habis",IF(I29&lt;=2,"Stok Terbatas","Tersedia"))</x:f>
        <x:v>Stok Terbatas</x:v>
      </x:c>
      <x:c r="K29" s="69" t="str">
        <x:v>Dress</x:v>
      </x:c>
      <x:c r="L29" s="69" t="str">
        <x:v>Aktif</x:v>
      </x:c>
      <x:c r="M29" s="70" t="str"/>
    </x:row>
    <x:row r="30">
      <x:c r="A30" s="96" t="str">
        <x:v>1M20003X2</x:v>
      </x:c>
      <x:c r="B30" s="102" t="n">
        <x:v>1</x:v>
      </x:c>
      <x:c r="C30" s="108" t="str">
        <x:v>SENJA</x:v>
      </x:c>
      <x:c r="D30" s="69" t="str">
        <x:v>PRD0002</x:v>
      </x:c>
      <x:c r="E30" s="69" t="str">
        <x:v>Dress Kids - Maison de Serein (Choco Taupe) / M</x:v>
      </x:c>
      <x:c r="F30" s="69" t="str">
        <x:v>Choco Taupe</x:v>
      </x:c>
      <x:c r="G30" s="69" t="str">
        <x:v>M</x:v>
      </x:c>
      <x:c r="H30" s="84" t="n">
        <x:v>329000</x:v>
      </x:c>
      <x:c r="I30" s="90" t="n">
        <x:v>3</x:v>
      </x:c>
      <x:c r="J30" s="69" t="str">
        <x:f>IF(I30&lt;=0,"Habis",IF(I30&lt;=2,"Stok Terbatas","Tersedia"))</x:f>
        <x:v>Tersedia</x:v>
      </x:c>
      <x:c r="K30" s="69" t="str">
        <x:v>Dress</x:v>
      </x:c>
      <x:c r="L30" s="69" t="str">
        <x:v>Aktif</x:v>
      </x:c>
      <x:c r="M30" s="70" t="str"/>
    </x:row>
    <x:row r="31">
      <x:c r="A31" s="96" t="str">
        <x:v>1M20004X3</x:v>
      </x:c>
      <x:c r="B31" s="102" t="n">
        <x:v>1</x:v>
      </x:c>
      <x:c r="C31" s="108" t="str">
        <x:v>SENJA</x:v>
      </x:c>
      <x:c r="D31" s="69" t="str">
        <x:v>PRD0002</x:v>
      </x:c>
      <x:c r="E31" s="69" t="str">
        <x:v>Dress Kids - Maison de Serein (Coklat Manis) / L</x:v>
      </x:c>
      <x:c r="F31" s="69" t="str">
        <x:v>Coklat Manis</x:v>
      </x:c>
      <x:c r="G31" s="69" t="str">
        <x:v>L</x:v>
      </x:c>
      <x:c r="H31" s="84" t="n">
        <x:v>329000</x:v>
      </x:c>
      <x:c r="I31" s="90" t="n">
        <x:v>4</x:v>
      </x:c>
      <x:c r="J31" s="69" t="str">
        <x:f>IF(I31&lt;=0,"Habis",IF(I31&lt;=2,"Stok Terbatas","Tersedia"))</x:f>
        <x:v>Tersedia</x:v>
      </x:c>
      <x:c r="K31" s="69" t="str">
        <x:v>Dress</x:v>
      </x:c>
      <x:c r="L31" s="69" t="str">
        <x:v>Aktif</x:v>
      </x:c>
      <x:c r="M31" s="70" t="str"/>
    </x:row>
    <x:row r="32">
      <x:c r="A32" s="96" t="str">
        <x:v>1M20004X2</x:v>
      </x:c>
      <x:c r="B32" s="102" t="n">
        <x:v>1</x:v>
      </x:c>
      <x:c r="C32" s="108" t="str">
        <x:v>SENJA</x:v>
      </x:c>
      <x:c r="D32" s="69" t="str">
        <x:v>PRD0002</x:v>
      </x:c>
      <x:c r="E32" s="69" t="str">
        <x:v>Dress Kids - Maison de Serein (Coklat Manis) / M</x:v>
      </x:c>
      <x:c r="F32" s="69" t="str">
        <x:v>Coklat Manis</x:v>
      </x:c>
      <x:c r="G32" s="69" t="str">
        <x:v>M</x:v>
      </x:c>
      <x:c r="H32" s="84" t="n">
        <x:v>329000</x:v>
      </x:c>
      <x:c r="I32" s="90" t="n">
        <x:v>2</x:v>
      </x:c>
      <x:c r="J32" s="69" t="str">
        <x:f>IF(I32&lt;=0,"Habis",IF(I32&lt;=2,"Stok Terbatas","Tersedia"))</x:f>
        <x:v>Stok Terbatas</x:v>
      </x:c>
      <x:c r="K32" s="69" t="str">
        <x:v>Dress</x:v>
      </x:c>
      <x:c r="L32" s="69" t="str">
        <x:v>Aktif</x:v>
      </x:c>
      <x:c r="M32" s="70" t="str"/>
    </x:row>
    <x:row r="33">
      <x:c r="A33" s="96" t="str">
        <x:v>1M20004X1</x:v>
      </x:c>
      <x:c r="B33" s="102" t="n">
        <x:v>1</x:v>
      </x:c>
      <x:c r="C33" s="108" t="str">
        <x:v>SENJA</x:v>
      </x:c>
      <x:c r="D33" s="69" t="str">
        <x:v>PRD0002</x:v>
      </x:c>
      <x:c r="E33" s="69" t="str">
        <x:v>Dress Kids - Maison de Serein (Coklat Manis) / S</x:v>
      </x:c>
      <x:c r="F33" s="69" t="str">
        <x:v>Coklat Manis</x:v>
      </x:c>
      <x:c r="G33" s="69" t="str">
        <x:v>S</x:v>
      </x:c>
      <x:c r="H33" s="84" t="n">
        <x:v>329000</x:v>
      </x:c>
      <x:c r="I33" s="90" t="n">
        <x:v>3</x:v>
      </x:c>
      <x:c r="J33" s="69" t="str">
        <x:f>IF(I33&lt;=0,"Habis",IF(I33&lt;=2,"Stok Terbatas","Tersedia"))</x:f>
        <x:v>Tersedia</x:v>
      </x:c>
      <x:c r="K33" s="69" t="str">
        <x:v>Dress</x:v>
      </x:c>
      <x:c r="L33" s="69" t="str">
        <x:v>Aktif</x:v>
      </x:c>
      <x:c r="M33" s="70" t="str"/>
    </x:row>
    <x:row r="34">
      <x:c r="A34" s="96" t="str">
        <x:v>1M30002Y3</x:v>
      </x:c>
      <x:c r="B34" s="102" t="n">
        <x:v>1</x:v>
      </x:c>
      <x:c r="C34" s="108" t="str">
        <x:v>SENJA</x:v>
      </x:c>
      <x:c r="D34" s="69" t="str">
        <x:v>PRD0004</x:v>
      </x:c>
      <x:c r="E34" s="69" t="str">
        <x:v>Shirt Kids - Maison de Serein (Biru Muda) / L</x:v>
      </x:c>
      <x:c r="F34" s="69" t="str">
        <x:v>Biru Muda</x:v>
      </x:c>
      <x:c r="G34" s="69" t="str">
        <x:v>L</x:v>
      </x:c>
      <x:c r="H34" s="84" t="n">
        <x:v>329000</x:v>
      </x:c>
      <x:c r="I34" s="90" t="n">
        <x:v>2</x:v>
      </x:c>
      <x:c r="J34" s="69" t="str">
        <x:f>IF(I34&lt;=0,"Habis",IF(I34&lt;=2,"Stok Terbatas","Tersedia"))</x:f>
        <x:v>Stok Terbatas</x:v>
      </x:c>
      <x:c r="K34" s="69" t="str">
        <x:v>Shirt</x:v>
      </x:c>
      <x:c r="L34" s="69" t="str">
        <x:v>Aktif</x:v>
      </x:c>
      <x:c r="M34" s="70" t="str"/>
    </x:row>
    <x:row r="35">
      <x:c r="A35" s="96" t="str">
        <x:v>1M30002Y2</x:v>
      </x:c>
      <x:c r="B35" s="102" t="n">
        <x:v>1</x:v>
      </x:c>
      <x:c r="C35" s="108" t="str">
        <x:v>SENJA</x:v>
      </x:c>
      <x:c r="D35" s="69" t="str">
        <x:v>PRD0004</x:v>
      </x:c>
      <x:c r="E35" s="69" t="str">
        <x:v>Shirt Kids - Maison de Serein (Biru Muda) / M</x:v>
      </x:c>
      <x:c r="F35" s="69" t="str">
        <x:v>Biru Muda</x:v>
      </x:c>
      <x:c r="G35" s="69" t="str">
        <x:v>M</x:v>
      </x:c>
      <x:c r="H35" s="84" t="n">
        <x:v>329000</x:v>
      </x:c>
      <x:c r="I35" s="90" t="n">
        <x:v>2</x:v>
      </x:c>
      <x:c r="J35" s="69" t="str">
        <x:f>IF(I35&lt;=0,"Habis",IF(I35&lt;=2,"Stok Terbatas","Tersedia"))</x:f>
        <x:v>Stok Terbatas</x:v>
      </x:c>
      <x:c r="K35" s="69" t="str">
        <x:v>Shirt</x:v>
      </x:c>
      <x:c r="L35" s="69" t="str">
        <x:v>Aktif</x:v>
      </x:c>
      <x:c r="M35" s="70" t="str"/>
    </x:row>
    <x:row r="36">
      <x:c r="A36" s="96" t="str">
        <x:v>1M30002Y1</x:v>
      </x:c>
      <x:c r="B36" s="102" t="n">
        <x:v>1</x:v>
      </x:c>
      <x:c r="C36" s="108" t="str">
        <x:v>SENJA</x:v>
      </x:c>
      <x:c r="D36" s="69" t="str">
        <x:v>PRD0004</x:v>
      </x:c>
      <x:c r="E36" s="69" t="str">
        <x:v>Shirt Kids - Maison de Serein (Biru Muda) / S</x:v>
      </x:c>
      <x:c r="F36" s="69" t="str">
        <x:v>Biru Muda</x:v>
      </x:c>
      <x:c r="G36" s="69" t="str">
        <x:v>S</x:v>
      </x:c>
      <x:c r="H36" s="84" t="n">
        <x:v>329000</x:v>
      </x:c>
      <x:c r="I36" s="90" t="n">
        <x:v>2</x:v>
      </x:c>
      <x:c r="J36" s="69" t="str">
        <x:f>IF(I36&lt;=0,"Habis",IF(I36&lt;=2,"Stok Terbatas","Tersedia"))</x:f>
        <x:v>Stok Terbatas</x:v>
      </x:c>
      <x:c r="K36" s="69" t="str">
        <x:v>Shirt</x:v>
      </x:c>
      <x:c r="L36" s="69" t="str">
        <x:v>Aktif</x:v>
      </x:c>
      <x:c r="M36" s="70" t="str"/>
    </x:row>
    <x:row r="37">
      <x:c r="A37" s="96" t="str">
        <x:v>1M30003Y3</x:v>
      </x:c>
      <x:c r="B37" s="102" t="n">
        <x:v>1</x:v>
      </x:c>
      <x:c r="C37" s="108" t="str">
        <x:v>SENJA</x:v>
      </x:c>
      <x:c r="D37" s="69" t="str">
        <x:v>PRD0004</x:v>
      </x:c>
      <x:c r="E37" s="69" t="str">
        <x:v>Shirt Kids - Maison de Serein (Choco Taupe) / L</x:v>
      </x:c>
      <x:c r="F37" s="69" t="str">
        <x:v>Choco Taupe</x:v>
      </x:c>
      <x:c r="G37" s="69" t="str">
        <x:v>L</x:v>
      </x:c>
      <x:c r="H37" s="84" t="n">
        <x:v>329000</x:v>
      </x:c>
      <x:c r="I37" s="90" t="n">
        <x:v>1</x:v>
      </x:c>
      <x:c r="J37" s="69" t="str">
        <x:f>IF(I37&lt;=0,"Habis",IF(I37&lt;=2,"Stok Terbatas","Tersedia"))</x:f>
        <x:v>Stok Terbatas</x:v>
      </x:c>
      <x:c r="K37" s="69" t="str">
        <x:v>Shirt</x:v>
      </x:c>
      <x:c r="L37" s="69" t="str">
        <x:v>Aktif</x:v>
      </x:c>
      <x:c r="M37" s="70" t="str"/>
    </x:row>
    <x:row r="38">
      <x:c r="A38" s="96" t="str">
        <x:v>1M30003Y2</x:v>
      </x:c>
      <x:c r="B38" s="102" t="n">
        <x:v>1</x:v>
      </x:c>
      <x:c r="C38" s="108" t="str">
        <x:v>SENJA</x:v>
      </x:c>
      <x:c r="D38" s="69" t="str">
        <x:v>PRD0004</x:v>
      </x:c>
      <x:c r="E38" s="69" t="str">
        <x:v>Shirt Kids - Maison de Serein (Choco Taupe) / M</x:v>
      </x:c>
      <x:c r="F38" s="69" t="str">
        <x:v>Choco Taupe</x:v>
      </x:c>
      <x:c r="G38" s="69" t="str">
        <x:v>M</x:v>
      </x:c>
      <x:c r="H38" s="84" t="n">
        <x:v>329000</x:v>
      </x:c>
      <x:c r="I38" s="90" t="n">
        <x:v>3</x:v>
      </x:c>
      <x:c r="J38" s="69" t="str">
        <x:f>IF(I38&lt;=0,"Habis",IF(I38&lt;=2,"Stok Terbatas","Tersedia"))</x:f>
        <x:v>Tersedia</x:v>
      </x:c>
      <x:c r="K38" s="69" t="str">
        <x:v>Shirt</x:v>
      </x:c>
      <x:c r="L38" s="69" t="str">
        <x:v>Aktif</x:v>
      </x:c>
      <x:c r="M38" s="70" t="str"/>
    </x:row>
    <x:row r="39">
      <x:c r="A39" s="96" t="str">
        <x:v>2M20561XX4</x:v>
      </x:c>
      <x:c r="B39" s="102" t="n">
        <x:v>2</x:v>
      </x:c>
      <x:c r="C39" s="108" t="str">
        <x:v>DOA</x:v>
      </x:c>
      <x:c r="D39" s="69" t="str">
        <x:v>PRD0007</x:v>
      </x:c>
      <x:c r="E39" s="69" t="str">
        <x:v>Abelia Dress - Trombone (L-XL)</x:v>
      </x:c>
      <x:c r="F39" s="69" t="str">
        <x:v>Trombone</x:v>
      </x:c>
      <x:c r="G39" s="69" t="str">
        <x:v>L-XL</x:v>
      </x:c>
      <x:c r="H39" s="84" t="n">
        <x:v>1095000</x:v>
      </x:c>
      <x:c r="I39" s="90" t="n">
        <x:v>2</x:v>
      </x:c>
      <x:c r="J39" s="69" t="str">
        <x:f>IF(I39&lt;=0,"Habis",IF(I39&lt;=2,"Stok Terbatas","Tersedia"))</x:f>
        <x:v>Stok Terbatas</x:v>
      </x:c>
      <x:c r="K39" s="69" t="str">
        <x:v>Dress</x:v>
      </x:c>
      <x:c r="L39" s="69" t="str">
        <x:v>Aktif</x:v>
      </x:c>
      <x:c r="M39" s="70" t="str"/>
    </x:row>
    <x:row r="40">
      <x:c r="A40" s="96" t="str">
        <x:v>2M20560XX2</x:v>
      </x:c>
      <x:c r="B40" s="102" t="n">
        <x:v>2</x:v>
      </x:c>
      <x:c r="C40" s="108" t="str">
        <x:v>DOA</x:v>
      </x:c>
      <x:c r="D40" s="69" t="str">
        <x:v>PRD0007</x:v>
      </x:c>
      <x:c r="E40" s="69" t="str">
        <x:v>Abelia Dress - Trombone (S-M)</x:v>
      </x:c>
      <x:c r="F40" s="69" t="str">
        <x:v>Trombone</x:v>
      </x:c>
      <x:c r="G40" s="69" t="str">
        <x:v>S-M</x:v>
      </x:c>
      <x:c r="H40" s="84" t="n">
        <x:v>1095000</x:v>
      </x:c>
      <x:c r="I40" s="90" t="n">
        <x:v>1</x:v>
      </x:c>
      <x:c r="J40" s="69" t="str">
        <x:f>IF(I40&lt;=0,"Habis",IF(I40&lt;=2,"Stok Terbatas","Tersedia"))</x:f>
        <x:v>Stok Terbatas</x:v>
      </x:c>
      <x:c r="K40" s="69" t="str">
        <x:v>Dress</x:v>
      </x:c>
      <x:c r="L40" s="69" t="str">
        <x:v>Aktif</x:v>
      </x:c>
      <x:c r="M40" s="70" t="str"/>
    </x:row>
    <x:row r="41">
      <x:c r="A41" s="96" t="str">
        <x:v>2M50023XX0</x:v>
      </x:c>
      <x:c r="B41" s="102" t="n">
        <x:v>2</x:v>
      </x:c>
      <x:c r="C41" s="108" t="str">
        <x:v>DOA</x:v>
      </x:c>
      <x:c r="D41" s="69" t="str">
        <x:v>PRD0005</x:v>
      </x:c>
      <x:c r="E41" s="69" t="str">
        <x:v>Claire Signature Brooch - Gold</x:v>
      </x:c>
      <x:c r="F41" s="69" t="str">
        <x:v>Gold</x:v>
      </x:c>
      <x:c r="G41" s="69" t="str"/>
      <x:c r="H41" s="84" t="n">
        <x:v>385000</x:v>
      </x:c>
      <x:c r="I41" s="90" t="n">
        <x:v>2</x:v>
      </x:c>
      <x:c r="J41" s="69" t="str">
        <x:f>IF(I41&lt;=0,"Habis",IF(I41&lt;=2,"Stok Terbatas","Tersedia"))</x:f>
        <x:v>Stok Terbatas</x:v>
      </x:c>
      <x:c r="K41" s="69" t="str">
        <x:v>Aksesoris</x:v>
      </x:c>
      <x:c r="L41" s="69" t="str">
        <x:v>Aktif</x:v>
      </x:c>
      <x:c r="M41" s="70" t="str"/>
    </x:row>
    <x:row r="42">
      <x:c r="A42" s="96" t="str">
        <x:v>2M50022XX0</x:v>
      </x:c>
      <x:c r="B42" s="102" t="n">
        <x:v>2</x:v>
      </x:c>
      <x:c r="C42" s="108" t="str">
        <x:v>DOA</x:v>
      </x:c>
      <x:c r="D42" s="69" t="str">
        <x:v>PRD0005</x:v>
      </x:c>
      <x:c r="E42" s="69" t="str">
        <x:v>Claire Signature Brooch - Rose Gold</x:v>
      </x:c>
      <x:c r="F42" s="69" t="str">
        <x:v>Rose Gold</x:v>
      </x:c>
      <x:c r="G42" s="69" t="str"/>
      <x:c r="H42" s="84" t="n">
        <x:v>385000</x:v>
      </x:c>
      <x:c r="I42" s="90" t="n">
        <x:v>2</x:v>
      </x:c>
      <x:c r="J42" s="69" t="str">
        <x:f>IF(I42&lt;=0,"Habis",IF(I42&lt;=2,"Stok Terbatas","Tersedia"))</x:f>
        <x:v>Stok Terbatas</x:v>
      </x:c>
      <x:c r="K42" s="69" t="str">
        <x:v>Aksesoris</x:v>
      </x:c>
      <x:c r="L42" s="69" t="str">
        <x:v>Aktif</x:v>
      </x:c>
      <x:c r="M42" s="70" t="str"/>
    </x:row>
    <x:row r="43">
      <x:c r="A43" s="96" t="str">
        <x:v>2M50024XX0</x:v>
      </x:c>
      <x:c r="B43" s="102" t="n">
        <x:v>2</x:v>
      </x:c>
      <x:c r="C43" s="108" t="str">
        <x:v>DOA</x:v>
      </x:c>
      <x:c r="D43" s="69" t="str">
        <x:v>PRD0006</x:v>
      </x:c>
      <x:c r="E43" s="69" t="str">
        <x:v>Elaine Signature Brooch - Gold</x:v>
      </x:c>
      <x:c r="F43" s="69" t="str">
        <x:v>Gold</x:v>
      </x:c>
      <x:c r="G43" s="69" t="str"/>
      <x:c r="H43" s="84" t="n">
        <x:v>385000</x:v>
      </x:c>
      <x:c r="I43" s="90" t="n">
        <x:v>1</x:v>
      </x:c>
      <x:c r="J43" s="69" t="str">
        <x:f>IF(I43&lt;=0,"Habis",IF(I43&lt;=2,"Stok Terbatas","Tersedia"))</x:f>
        <x:v>Stok Terbatas</x:v>
      </x:c>
      <x:c r="K43" s="69" t="str">
        <x:v>Aksesoris</x:v>
      </x:c>
      <x:c r="L43" s="69" t="str">
        <x:v>Aktif</x:v>
      </x:c>
      <x:c r="M43" s="70" t="str"/>
    </x:row>
    <x:row r="44">
      <x:c r="A44" s="96" t="str">
        <x:v>2M20599XX4</x:v>
      </x:c>
      <x:c r="B44" s="102" t="n">
        <x:v>2</x:v>
      </x:c>
      <x:c r="C44" s="108" t="str">
        <x:v>DOA</x:v>
      </x:c>
      <x:c r="D44" s="69" t="str">
        <x:v>PRD0008</x:v>
      </x:c>
      <x:c r="E44" s="69" t="str">
        <x:v>Gaenaree Dress - Pink (L-XL)</x:v>
      </x:c>
      <x:c r="F44" s="69" t="str">
        <x:v>Pink</x:v>
      </x:c>
      <x:c r="G44" s="69" t="str">
        <x:v>L-XL</x:v>
      </x:c>
      <x:c r="H44" s="84" t="n">
        <x:v>1095000</x:v>
      </x:c>
      <x:c r="I44" s="90" t="n">
        <x:v>1</x:v>
      </x:c>
      <x:c r="J44" s="69" t="str">
        <x:f>IF(I44&lt;=0,"Habis",IF(I44&lt;=2,"Stok Terbatas","Tersedia"))</x:f>
        <x:v>Stok Terbatas</x:v>
      </x:c>
      <x:c r="K44" s="69" t="str">
        <x:v>Dress</x:v>
      </x:c>
      <x:c r="L44" s="69" t="str">
        <x:v>Aktif</x:v>
      </x:c>
      <x:c r="M44" s="70" t="str"/>
    </x:row>
    <x:row r="45">
      <x:c r="A45" s="96" t="str">
        <x:v>2M20598XX2</x:v>
      </x:c>
      <x:c r="B45" s="102" t="n">
        <x:v>2</x:v>
      </x:c>
      <x:c r="C45" s="108" t="str">
        <x:v>DOA</x:v>
      </x:c>
      <x:c r="D45" s="69" t="str">
        <x:v>PRD0008</x:v>
      </x:c>
      <x:c r="E45" s="69" t="str">
        <x:v>Gaenaree Dress - Pink (S-M)</x:v>
      </x:c>
      <x:c r="F45" s="69" t="str">
        <x:v>Pink</x:v>
      </x:c>
      <x:c r="G45" s="69" t="str">
        <x:v>S-M</x:v>
      </x:c>
      <x:c r="H45" s="84" t="n">
        <x:v>1095000</x:v>
      </x:c>
      <x:c r="I45" s="90" t="n">
        <x:v>1</x:v>
      </x:c>
      <x:c r="J45" s="69" t="str">
        <x:f>IF(I45&lt;=0,"Habis",IF(I45&lt;=2,"Stok Terbatas","Tersedia"))</x:f>
        <x:v>Stok Terbatas</x:v>
      </x:c>
      <x:c r="K45" s="69" t="str">
        <x:v>Dress</x:v>
      </x:c>
      <x:c r="L45" s="69" t="str">
        <x:v>Aktif</x:v>
      </x:c>
      <x:c r="M45" s="70" t="str"/>
    </x:row>
    <x:row r="46">
      <x:c r="A46" s="96" t="str">
        <x:v>2M20601XX4</x:v>
      </x:c>
      <x:c r="B46" s="102" t="n">
        <x:v>2</x:v>
      </x:c>
      <x:c r="C46" s="108" t="str">
        <x:v>DOA</x:v>
      </x:c>
      <x:c r="D46" s="69" t="str">
        <x:v>PRD0008</x:v>
      </x:c>
      <x:c r="E46" s="69" t="str">
        <x:v>Gaenaree Dress - Taupe (L-XL)</x:v>
      </x:c>
      <x:c r="F46" s="69" t="str">
        <x:v>Taupe</x:v>
      </x:c>
      <x:c r="G46" s="69" t="str">
        <x:v>L-XL</x:v>
      </x:c>
      <x:c r="H46" s="84" t="n">
        <x:v>1095000</x:v>
      </x:c>
      <x:c r="I46" s="90" t="n">
        <x:v>1</x:v>
      </x:c>
      <x:c r="J46" s="69" t="str">
        <x:f>IF(I46&lt;=0,"Habis",IF(I46&lt;=2,"Stok Terbatas","Tersedia"))</x:f>
        <x:v>Stok Terbatas</x:v>
      </x:c>
      <x:c r="K46" s="69" t="str">
        <x:v>Dress</x:v>
      </x:c>
      <x:c r="L46" s="69" t="str">
        <x:v>Aktif</x:v>
      </x:c>
      <x:c r="M46" s="70" t="str"/>
    </x:row>
    <x:row r="47">
      <x:c r="A47" s="96" t="str">
        <x:v>2M20563XX4</x:v>
      </x:c>
      <x:c r="B47" s="102" t="n">
        <x:v>2</x:v>
      </x:c>
      <x:c r="C47" s="108" t="str">
        <x:v>DOA</x:v>
      </x:c>
      <x:c r="D47" s="69" t="str">
        <x:v>PRD0009</x:v>
      </x:c>
      <x:c r="E47" s="69" t="str">
        <x:v>Gasteria Dress - Olive (L-XL)</x:v>
      </x:c>
      <x:c r="F47" s="69" t="str">
        <x:v>Olive</x:v>
      </x:c>
      <x:c r="G47" s="69" t="str">
        <x:v>L-XL</x:v>
      </x:c>
      <x:c r="H47" s="84" t="n">
        <x:v>1145000</x:v>
      </x:c>
      <x:c r="I47" s="90" t="n">
        <x:v>2</x:v>
      </x:c>
      <x:c r="J47" s="69" t="str">
        <x:f>IF(I47&lt;=0,"Habis",IF(I47&lt;=2,"Stok Terbatas","Tersedia"))</x:f>
        <x:v>Stok Terbatas</x:v>
      </x:c>
      <x:c r="K47" s="69" t="str">
        <x:v>Dress</x:v>
      </x:c>
      <x:c r="L47" s="69" t="str">
        <x:v>Aktif</x:v>
      </x:c>
      <x:c r="M47" s="70" t="str"/>
    </x:row>
    <x:row r="48">
      <x:c r="A48" s="96" t="str">
        <x:v>2M140893XX0</x:v>
      </x:c>
      <x:c r="B48" s="102" t="n">
        <x:v>2</x:v>
      </x:c>
      <x:c r="C48" s="108" t="str">
        <x:v>DOA</x:v>
      </x:c>
      <x:c r="D48" s="69" t="str">
        <x:v>PRD0012</x:v>
      </x:c>
      <x:c r="E48" s="69" t="str">
        <x:v>Ghina Outer - Peach</x:v>
      </x:c>
      <x:c r="F48" s="69" t="str">
        <x:v>Peach</x:v>
      </x:c>
      <x:c r="G48" s="69" t="str"/>
      <x:c r="H48" s="84" t="n">
        <x:v>825000</x:v>
      </x:c>
      <x:c r="I48" s="90" t="n">
        <x:v>1</x:v>
      </x:c>
      <x:c r="J48" s="69" t="str">
        <x:f>IF(I48&lt;=0,"Habis",IF(I48&lt;=2,"Stok Terbatas","Tersedia"))</x:f>
        <x:v>Stok Terbatas</x:v>
      </x:c>
      <x:c r="K48" s="69" t="str">
        <x:v>Outer</x:v>
      </x:c>
      <x:c r="L48" s="69" t="str">
        <x:v>Aktif</x:v>
      </x:c>
      <x:c r="M48" s="70" t="str"/>
    </x:row>
    <x:row r="49">
      <x:c r="A49" s="96" t="str">
        <x:v>2M20695XX1</x:v>
      </x:c>
      <x:c r="B49" s="102" t="n">
        <x:v>2</x:v>
      </x:c>
      <x:c r="C49" s="108" t="str">
        <x:v>DOA</x:v>
      </x:c>
      <x:c r="D49" s="69" t="str">
        <x:v>PRD0010</x:v>
      </x:c>
      <x:c r="E49" s="69" t="str">
        <x:v>Shahnaz Dress Kids (3-4)</x:v>
      </x:c>
      <x:c r="F49" s="69" t="str"/>
      <x:c r="G49" s="69" t="str">
        <x:v>3-4</x:v>
      </x:c>
      <x:c r="H49" s="84" t="n">
        <x:v>650000</x:v>
      </x:c>
      <x:c r="I49" s="90" t="n">
        <x:v>2</x:v>
      </x:c>
      <x:c r="J49" s="69" t="str">
        <x:f>IF(I49&lt;=0,"Habis",IF(I49&lt;=2,"Stok Terbatas","Tersedia"))</x:f>
        <x:v>Stok Terbatas</x:v>
      </x:c>
      <x:c r="K49" s="69" t="str">
        <x:v>Dress</x:v>
      </x:c>
      <x:c r="L49" s="69" t="str">
        <x:v>Aktif</x:v>
      </x:c>
      <x:c r="M49" s="70" t="str"/>
    </x:row>
    <x:row r="50">
      <x:c r="A50" s="96" t="str">
        <x:v>2M20696XX2</x:v>
      </x:c>
      <x:c r="B50" s="102" t="n">
        <x:v>2</x:v>
      </x:c>
      <x:c r="C50" s="108" t="str">
        <x:v>DOA</x:v>
      </x:c>
      <x:c r="D50" s="69" t="str">
        <x:v>PRD0010</x:v>
      </x:c>
      <x:c r="E50" s="69" t="str">
        <x:v>Shahnaz Dress Kids (5-6)</x:v>
      </x:c>
      <x:c r="F50" s="69" t="str"/>
      <x:c r="G50" s="69" t="str">
        <x:v>5-6</x:v>
      </x:c>
      <x:c r="H50" s="84" t="n">
        <x:v>650000</x:v>
      </x:c>
      <x:c r="I50" s="90" t="n">
        <x:v>2</x:v>
      </x:c>
      <x:c r="J50" s="69" t="str">
        <x:f>IF(I50&lt;=0,"Habis",IF(I50&lt;=2,"Stok Terbatas","Tersedia"))</x:f>
        <x:v>Stok Terbatas</x:v>
      </x:c>
      <x:c r="K50" s="69" t="str">
        <x:v>Dress</x:v>
      </x:c>
      <x:c r="L50" s="69" t="str">
        <x:v>Aktif</x:v>
      </x:c>
      <x:c r="M50" s="70" t="str"/>
    </x:row>
    <x:row r="51">
      <x:c r="A51" s="96" t="str">
        <x:v>2M20697XX3</x:v>
      </x:c>
      <x:c r="B51" s="102" t="n">
        <x:v>2</x:v>
      </x:c>
      <x:c r="C51" s="108" t="str">
        <x:v>DOA</x:v>
      </x:c>
      <x:c r="D51" s="69" t="str">
        <x:v>PRD0010</x:v>
      </x:c>
      <x:c r="E51" s="69" t="str">
        <x:v>Shahnaz Dress Kids (7-8)</x:v>
      </x:c>
      <x:c r="F51" s="69" t="str"/>
      <x:c r="G51" s="69" t="str">
        <x:v>7-8</x:v>
      </x:c>
      <x:c r="H51" s="84" t="n">
        <x:v>650000</x:v>
      </x:c>
      <x:c r="I51" s="90" t="n">
        <x:v>3</x:v>
      </x:c>
      <x:c r="J51" s="69" t="str">
        <x:f>IF(I51&lt;=0,"Habis",IF(I51&lt;=2,"Stok Terbatas","Tersedia"))</x:f>
        <x:v>Tersedia</x:v>
      </x:c>
      <x:c r="K51" s="69" t="str">
        <x:v>Dress</x:v>
      </x:c>
      <x:c r="L51" s="69" t="str">
        <x:v>Aktif</x:v>
      </x:c>
      <x:c r="M51" s="70" t="str"/>
    </x:row>
    <x:row r="52">
      <x:c r="A52" s="96" t="str">
        <x:v>2M20699XX4</x:v>
      </x:c>
      <x:c r="B52" s="102" t="n">
        <x:v>2</x:v>
      </x:c>
      <x:c r="C52" s="108" t="str">
        <x:v>DOA</x:v>
      </x:c>
      <x:c r="D52" s="69" t="str">
        <x:v>PRD0011</x:v>
      </x:c>
      <x:c r="E52" s="69" t="str">
        <x:v>Syahira Dress (L-XL)</x:v>
      </x:c>
      <x:c r="F52" s="69" t="str"/>
      <x:c r="G52" s="69" t="str">
        <x:v>L-XL</x:v>
      </x:c>
      <x:c r="H52" s="84" t="n">
        <x:v>1025000</x:v>
      </x:c>
      <x:c r="I52" s="90" t="n">
        <x:v>1</x:v>
      </x:c>
      <x:c r="J52" s="69" t="str">
        <x:f>IF(I52&lt;=0,"Habis",IF(I52&lt;=2,"Stok Terbatas","Tersedia"))</x:f>
        <x:v>Stok Terbatas</x:v>
      </x:c>
      <x:c r="K52" s="69" t="str">
        <x:v>Dress</x:v>
      </x:c>
      <x:c r="L52" s="69" t="str">
        <x:v>Aktif</x:v>
      </x:c>
      <x:c r="M52" s="70" t="str"/>
    </x:row>
    <x:row r="53">
      <x:c r="A53" s="96" t="str">
        <x:v>2M30703XY5</x:v>
      </x:c>
      <x:c r="B53" s="102" t="n">
        <x:v>2</x:v>
      </x:c>
      <x:c r="C53" s="108" t="str">
        <x:v>DOA</x:v>
      </x:c>
      <x:c r="D53" s="69" t="str">
        <x:v>PRD0013</x:v>
      </x:c>
      <x:c r="E53" s="69" t="str">
        <x:v>Xavier Koko Kids (11-12)</x:v>
      </x:c>
      <x:c r="F53" s="69" t="str"/>
      <x:c r="G53" s="69" t="str">
        <x:v>11-12</x:v>
      </x:c>
      <x:c r="H53" s="84" t="n">
        <x:v>450000</x:v>
      </x:c>
      <x:c r="I53" s="90" t="n">
        <x:v>1</x:v>
      </x:c>
      <x:c r="J53" s="69" t="str">
        <x:f>IF(I53&lt;=0,"Habis",IF(I53&lt;=2,"Stok Terbatas","Tersedia"))</x:f>
        <x:v>Stok Terbatas</x:v>
      </x:c>
      <x:c r="K53" s="69" t="str">
        <x:v>Shirt</x:v>
      </x:c>
      <x:c r="L53" s="69" t="str">
        <x:v>Aktif</x:v>
      </x:c>
      <x:c r="M53" s="70" t="str"/>
    </x:row>
    <x:row r="54">
      <x:c r="A54" s="96" t="str">
        <x:v>2M30700XY2</x:v>
      </x:c>
      <x:c r="B54" s="102" t="n">
        <x:v>2</x:v>
      </x:c>
      <x:c r="C54" s="108" t="str">
        <x:v>DOA</x:v>
      </x:c>
      <x:c r="D54" s="69" t="str">
        <x:v>PRD0013</x:v>
      </x:c>
      <x:c r="E54" s="69" t="str">
        <x:v>Xavier Koko Kids (5-6)</x:v>
      </x:c>
      <x:c r="F54" s="69" t="str"/>
      <x:c r="G54" s="69" t="str">
        <x:v>5-6</x:v>
      </x:c>
      <x:c r="H54" s="84" t="n">
        <x:v>450000</x:v>
      </x:c>
      <x:c r="I54" s="90" t="n">
        <x:v>4</x:v>
      </x:c>
      <x:c r="J54" s="69" t="str">
        <x:f>IF(I54&lt;=0,"Habis",IF(I54&lt;=2,"Stok Terbatas","Tersedia"))</x:f>
        <x:v>Tersedia</x:v>
      </x:c>
      <x:c r="K54" s="69" t="str">
        <x:v>Shirt</x:v>
      </x:c>
      <x:c r="L54" s="69" t="str">
        <x:v>Aktif</x:v>
      </x:c>
      <x:c r="M54" s="70" t="str"/>
    </x:row>
    <x:row r="55">
      <x:c r="A55" s="96" t="str">
        <x:v>2M30701XY3</x:v>
      </x:c>
      <x:c r="B55" s="102" t="n">
        <x:v>2</x:v>
      </x:c>
      <x:c r="C55" s="108" t="str">
        <x:v>DOA</x:v>
      </x:c>
      <x:c r="D55" s="69" t="str">
        <x:v>PRD0013</x:v>
      </x:c>
      <x:c r="E55" s="69" t="str">
        <x:v>Xavier Koko Kids (7-8)</x:v>
      </x:c>
      <x:c r="F55" s="69" t="str"/>
      <x:c r="G55" s="69" t="str">
        <x:v>7-8</x:v>
      </x:c>
      <x:c r="H55" s="84" t="n">
        <x:v>450000</x:v>
      </x:c>
      <x:c r="I55" s="90" t="n">
        <x:v>4</x:v>
      </x:c>
      <x:c r="J55" s="69" t="str">
        <x:f>IF(I55&lt;=0,"Habis",IF(I55&lt;=2,"Stok Terbatas","Tersedia"))</x:f>
        <x:v>Tersedia</x:v>
      </x:c>
      <x:c r="K55" s="69" t="str">
        <x:v>Shirt</x:v>
      </x:c>
      <x:c r="L55" s="69" t="str">
        <x:v>Aktif</x:v>
      </x:c>
      <x:c r="M55" s="70" t="str"/>
    </x:row>
    <x:row r="56">
      <x:c r="A56" s="96" t="str">
        <x:v>2M30702XY4</x:v>
      </x:c>
      <x:c r="B56" s="102" t="n">
        <x:v>2</x:v>
      </x:c>
      <x:c r="C56" s="108" t="str">
        <x:v>DOA</x:v>
      </x:c>
      <x:c r="D56" s="69" t="str">
        <x:v>PRD0013</x:v>
      </x:c>
      <x:c r="E56" s="69" t="str">
        <x:v>Xavier Koko Kids (9-10)</x:v>
      </x:c>
      <x:c r="F56" s="69" t="str"/>
      <x:c r="G56" s="69" t="str">
        <x:v>9-10</x:v>
      </x:c>
      <x:c r="H56" s="84" t="n">
        <x:v>450000</x:v>
      </x:c>
      <x:c r="I56" s="90" t="n">
        <x:v>3</x:v>
      </x:c>
      <x:c r="J56" s="69" t="str">
        <x:f>IF(I56&lt;=0,"Habis",IF(I56&lt;=2,"Stok Terbatas","Tersedia"))</x:f>
        <x:v>Tersedia</x:v>
      </x:c>
      <x:c r="K56" s="69" t="str">
        <x:v>Shirt</x:v>
      </x:c>
      <x:c r="L56" s="69" t="str">
        <x:v>Aktif</x:v>
      </x:c>
      <x:c r="M56" s="70" t="str"/>
    </x:row>
    <x:row r="57">
      <x:c r="A57" s="96" t="str">
        <x:v>3M30333XX4</x:v>
      </x:c>
      <x:c r="B57" s="102" t="n">
        <x:v>3</x:v>
      </x:c>
      <x:c r="C57" s="108" t="str">
        <x:v>HEART TROOPS</x:v>
      </x:c>
      <x:c r="D57" s="69" t="str">
        <x:v>PRD0027</x:v>
      </x:c>
      <x:c r="E57" s="69" t="str">
        <x:v>Aubrey Shirt (L-XL)</x:v>
      </x:c>
      <x:c r="F57" s="69" t="str"/>
      <x:c r="G57" s="69" t="str">
        <x:v>L-XL</x:v>
      </x:c>
      <x:c r="H57" s="84" t="n">
        <x:v>499000</x:v>
      </x:c>
      <x:c r="I57" s="90" t="n">
        <x:v>1</x:v>
      </x:c>
      <x:c r="J57" s="69" t="str">
        <x:f>IF(I57&lt;=0,"Habis",IF(I57&lt;=2,"Stok Terbatas","Tersedia"))</x:f>
        <x:v>Stok Terbatas</x:v>
      </x:c>
      <x:c r="K57" s="69" t="str">
        <x:v>Shirt</x:v>
      </x:c>
      <x:c r="L57" s="69" t="str">
        <x:v>Aktif</x:v>
      </x:c>
      <x:c r="M57" s="70" t="str"/>
    </x:row>
    <x:row r="58">
      <x:c r="A58" s="96" t="str">
        <x:v>3M20054X0</x:v>
      </x:c>
      <x:c r="B58" s="102" t="n">
        <x:v>3</x:v>
      </x:c>
      <x:c r="C58" s="108" t="str">
        <x:v>HEART TROOPS</x:v>
      </x:c>
      <x:c r="D58" s="69" t="str">
        <x:v>PRD0016</x:v>
      </x:c>
      <x:c r="E58" s="69" t="str">
        <x:v>Ayoka Dress Kids / 12</x:v>
      </x:c>
      <x:c r="F58" s="69" t="str"/>
      <x:c r="G58" s="69" t="str">
        <x:v>12</x:v>
      </x:c>
      <x:c r="H58" s="84" t="n">
        <x:v>795000</x:v>
      </x:c>
      <x:c r="I58" s="90" t="n">
        <x:v>1</x:v>
      </x:c>
      <x:c r="J58" s="69" t="str">
        <x:f>IF(I58&lt;=0,"Habis",IF(I58&lt;=2,"Stok Terbatas","Tersedia"))</x:f>
        <x:v>Stok Terbatas</x:v>
      </x:c>
      <x:c r="K58" s="69" t="str">
        <x:v>Dress</x:v>
      </x:c>
      <x:c r="L58" s="69" t="str">
        <x:v>Aktif</x:v>
      </x:c>
      <x:c r="M58" s="70" t="str"/>
    </x:row>
    <x:row r="59">
      <x:c r="A59" s="96" t="str">
        <x:v>3M20051X0</x:v>
      </x:c>
      <x:c r="B59" s="102" t="n">
        <x:v>3</x:v>
      </x:c>
      <x:c r="C59" s="108" t="str">
        <x:v>HEART TROOPS</x:v>
      </x:c>
      <x:c r="D59" s="69" t="str">
        <x:v>PRD0016</x:v>
      </x:c>
      <x:c r="E59" s="69" t="str">
        <x:v>Ayoka Dress Kids / 6</x:v>
      </x:c>
      <x:c r="F59" s="69" t="str"/>
      <x:c r="G59" s="69" t="str">
        <x:v>6</x:v>
      </x:c>
      <x:c r="H59" s="84" t="n">
        <x:v>795000</x:v>
      </x:c>
      <x:c r="I59" s="90" t="n">
        <x:v>1</x:v>
      </x:c>
      <x:c r="J59" s="69" t="str">
        <x:f>IF(I59&lt;=0,"Habis",IF(I59&lt;=2,"Stok Terbatas","Tersedia"))</x:f>
        <x:v>Stok Terbatas</x:v>
      </x:c>
      <x:c r="K59" s="69" t="str">
        <x:v>Dress</x:v>
      </x:c>
      <x:c r="L59" s="69" t="str">
        <x:v>Aktif</x:v>
      </x:c>
      <x:c r="M59" s="70" t="str"/>
    </x:row>
    <x:row r="60">
      <x:c r="A60" s="96" t="str">
        <x:v>3M20052X0</x:v>
      </x:c>
      <x:c r="B60" s="102" t="n">
        <x:v>3</x:v>
      </x:c>
      <x:c r="C60" s="108" t="str">
        <x:v>HEART TROOPS</x:v>
      </x:c>
      <x:c r="D60" s="69" t="str">
        <x:v>PRD0016</x:v>
      </x:c>
      <x:c r="E60" s="69" t="str">
        <x:v>Ayoka Dress Kids / 8</x:v>
      </x:c>
      <x:c r="F60" s="69" t="str"/>
      <x:c r="G60" s="69" t="str">
        <x:v>8</x:v>
      </x:c>
      <x:c r="H60" s="84" t="n">
        <x:v>795000</x:v>
      </x:c>
      <x:c r="I60" s="90" t="n">
        <x:v>1</x:v>
      </x:c>
      <x:c r="J60" s="69" t="str">
        <x:f>IF(I60&lt;=0,"Habis",IF(I60&lt;=2,"Stok Terbatas","Tersedia"))</x:f>
        <x:v>Stok Terbatas</x:v>
      </x:c>
      <x:c r="K60" s="69" t="str">
        <x:v>Dress</x:v>
      </x:c>
      <x:c r="L60" s="69" t="str">
        <x:v>Aktif</x:v>
      </x:c>
      <x:c r="M60" s="70" t="str"/>
    </x:row>
    <x:row r="61">
      <x:c r="A61" s="96" t="str">
        <x:v>3M30410XY4</x:v>
      </x:c>
      <x:c r="B61" s="102" t="n">
        <x:v>3</x:v>
      </x:c>
      <x:c r="C61" s="108" t="str">
        <x:v>HEART TROOPS</x:v>
      </x:c>
      <x:c r="D61" s="69" t="str">
        <x:v>PRD0028</x:v>
      </x:c>
      <x:c r="E61" s="69" t="str">
        <x:v>Bhisma Koko Shirt Kids - Earth (10)</x:v>
      </x:c>
      <x:c r="F61" s="69" t="str">
        <x:v>Earth</x:v>
      </x:c>
      <x:c r="G61" s="69" t="str">
        <x:v>10</x:v>
      </x:c>
      <x:c r="H61" s="84" t="n">
        <x:v>389000</x:v>
      </x:c>
      <x:c r="I61" s="90" t="n">
        <x:v>1</x:v>
      </x:c>
      <x:c r="J61" s="69" t="str">
        <x:f>IF(I61&lt;=0,"Habis",IF(I61&lt;=2,"Stok Terbatas","Tersedia"))</x:f>
        <x:v>Stok Terbatas</x:v>
      </x:c>
      <x:c r="K61" s="69" t="str">
        <x:v>Shirt</x:v>
      </x:c>
      <x:c r="L61" s="69" t="str">
        <x:v>Aktif</x:v>
      </x:c>
      <x:c r="M61" s="70" t="str"/>
    </x:row>
    <x:row r="62">
      <x:c r="A62" s="96" t="str">
        <x:v>3M30407XY1</x:v>
      </x:c>
      <x:c r="B62" s="102" t="n">
        <x:v>3</x:v>
      </x:c>
      <x:c r="C62" s="108" t="str">
        <x:v>HEART TROOPS</x:v>
      </x:c>
      <x:c r="D62" s="69" t="str">
        <x:v>PRD0028</x:v>
      </x:c>
      <x:c r="E62" s="69" t="str">
        <x:v>Bhisma Koko Shirt Kids - Earth (4)</x:v>
      </x:c>
      <x:c r="F62" s="69" t="str">
        <x:v>Earth</x:v>
      </x:c>
      <x:c r="G62" s="69" t="str">
        <x:v>4</x:v>
      </x:c>
      <x:c r="H62" s="84" t="n">
        <x:v>389000</x:v>
      </x:c>
      <x:c r="I62" s="90" t="n">
        <x:v>2</x:v>
      </x:c>
      <x:c r="J62" s="69" t="str">
        <x:f>IF(I62&lt;=0,"Habis",IF(I62&lt;=2,"Stok Terbatas","Tersedia"))</x:f>
        <x:v>Stok Terbatas</x:v>
      </x:c>
      <x:c r="K62" s="69" t="str">
        <x:v>Shirt</x:v>
      </x:c>
      <x:c r="L62" s="69" t="str">
        <x:v>Aktif</x:v>
      </x:c>
      <x:c r="M62" s="70" t="str"/>
    </x:row>
    <x:row r="63">
      <x:c r="A63" s="96" t="str">
        <x:v>3M30408XY2</x:v>
      </x:c>
      <x:c r="B63" s="102" t="n">
        <x:v>3</x:v>
      </x:c>
      <x:c r="C63" s="108" t="str">
        <x:v>HEART TROOPS</x:v>
      </x:c>
      <x:c r="D63" s="69" t="str">
        <x:v>PRD0028</x:v>
      </x:c>
      <x:c r="E63" s="69" t="str">
        <x:v>Bhisma Koko Shirt Kids - Earth (6)</x:v>
      </x:c>
      <x:c r="F63" s="69" t="str">
        <x:v>Earth</x:v>
      </x:c>
      <x:c r="G63" s="69" t="str">
        <x:v>6</x:v>
      </x:c>
      <x:c r="H63" s="84" t="n">
        <x:v>389000</x:v>
      </x:c>
      <x:c r="I63" s="90" t="n">
        <x:v>1</x:v>
      </x:c>
      <x:c r="J63" s="69" t="str">
        <x:f>IF(I63&lt;=0,"Habis",IF(I63&lt;=2,"Stok Terbatas","Tersedia"))</x:f>
        <x:v>Stok Terbatas</x:v>
      </x:c>
      <x:c r="K63" s="69" t="str">
        <x:v>Shirt</x:v>
      </x:c>
      <x:c r="L63" s="69" t="str">
        <x:v>Aktif</x:v>
      </x:c>
      <x:c r="M63" s="70" t="str"/>
    </x:row>
    <x:row r="64">
      <x:c r="A64" s="96" t="str">
        <x:v>3M30409XY3</x:v>
      </x:c>
      <x:c r="B64" s="102" t="n">
        <x:v>3</x:v>
      </x:c>
      <x:c r="C64" s="108" t="str">
        <x:v>HEART TROOPS</x:v>
      </x:c>
      <x:c r="D64" s="69" t="str">
        <x:v>PRD0028</x:v>
      </x:c>
      <x:c r="E64" s="69" t="str">
        <x:v>Bhisma Koko Shirt Kids - Earth (8)</x:v>
      </x:c>
      <x:c r="F64" s="69" t="str">
        <x:v>Earth</x:v>
      </x:c>
      <x:c r="G64" s="69" t="str">
        <x:v>8</x:v>
      </x:c>
      <x:c r="H64" s="84" t="n">
        <x:v>389000</x:v>
      </x:c>
      <x:c r="I64" s="90" t="n">
        <x:v>2</x:v>
      </x:c>
      <x:c r="J64" s="69" t="str">
        <x:f>IF(I64&lt;=0,"Habis",IF(I64&lt;=2,"Stok Terbatas","Tersedia"))</x:f>
        <x:v>Stok Terbatas</x:v>
      </x:c>
      <x:c r="K64" s="69" t="str">
        <x:v>Shirt</x:v>
      </x:c>
      <x:c r="L64" s="69" t="str">
        <x:v>Aktif</x:v>
      </x:c>
      <x:c r="M64" s="70" t="str"/>
    </x:row>
    <x:row r="65">
      <x:c r="A65" s="96" t="str">
        <x:v>3M30405XY4</x:v>
      </x:c>
      <x:c r="B65" s="102" t="n">
        <x:v>3</x:v>
      </x:c>
      <x:c r="C65" s="108" t="str">
        <x:v>HEART TROOPS</x:v>
      </x:c>
      <x:c r="D65" s="69" t="str">
        <x:v>PRD0028</x:v>
      </x:c>
      <x:c r="E65" s="69" t="str">
        <x:v>Bhisma Koko Shirt Kids - Sky (10)</x:v>
      </x:c>
      <x:c r="F65" s="69" t="str">
        <x:v>Sky</x:v>
      </x:c>
      <x:c r="G65" s="69" t="str">
        <x:v>10</x:v>
      </x:c>
      <x:c r="H65" s="84" t="n">
        <x:v>389000</x:v>
      </x:c>
      <x:c r="I65" s="90" t="n">
        <x:v>1</x:v>
      </x:c>
      <x:c r="J65" s="69" t="str">
        <x:f>IF(I65&lt;=0,"Habis",IF(I65&lt;=2,"Stok Terbatas","Tersedia"))</x:f>
        <x:v>Stok Terbatas</x:v>
      </x:c>
      <x:c r="K65" s="69" t="str">
        <x:v>Shirt</x:v>
      </x:c>
      <x:c r="L65" s="69" t="str">
        <x:v>Aktif</x:v>
      </x:c>
      <x:c r="M65" s="70" t="str"/>
    </x:row>
    <x:row r="66">
      <x:c r="A66" s="96" t="str">
        <x:v>3M30402XY1</x:v>
      </x:c>
      <x:c r="B66" s="102" t="n">
        <x:v>3</x:v>
      </x:c>
      <x:c r="C66" s="108" t="str">
        <x:v>HEART TROOPS</x:v>
      </x:c>
      <x:c r="D66" s="69" t="str">
        <x:v>PRD0028</x:v>
      </x:c>
      <x:c r="E66" s="69" t="str">
        <x:v>Bhisma Koko Shirt Kids - Sky (4)</x:v>
      </x:c>
      <x:c r="F66" s="69" t="str">
        <x:v>Sky</x:v>
      </x:c>
      <x:c r="G66" s="69" t="str">
        <x:v>4</x:v>
      </x:c>
      <x:c r="H66" s="84" t="n">
        <x:v>389000</x:v>
      </x:c>
      <x:c r="I66" s="90" t="n">
        <x:v>2</x:v>
      </x:c>
      <x:c r="J66" s="69" t="str">
        <x:f>IF(I66&lt;=0,"Habis",IF(I66&lt;=2,"Stok Terbatas","Tersedia"))</x:f>
        <x:v>Stok Terbatas</x:v>
      </x:c>
      <x:c r="K66" s="69" t="str">
        <x:v>Shirt</x:v>
      </x:c>
      <x:c r="L66" s="69" t="str">
        <x:v>Aktif</x:v>
      </x:c>
      <x:c r="M66" s="70" t="str"/>
    </x:row>
    <x:row r="67">
      <x:c r="A67" s="96" t="str">
        <x:v>3M30404XY3</x:v>
      </x:c>
      <x:c r="B67" s="102" t="n">
        <x:v>3</x:v>
      </x:c>
      <x:c r="C67" s="108" t="str">
        <x:v>HEART TROOPS</x:v>
      </x:c>
      <x:c r="D67" s="69" t="str">
        <x:v>PRD0028</x:v>
      </x:c>
      <x:c r="E67" s="69" t="str">
        <x:v>Bhisma Koko Shirt Kids - Sky (8)</x:v>
      </x:c>
      <x:c r="F67" s="69" t="str">
        <x:v>Sky</x:v>
      </x:c>
      <x:c r="G67" s="69" t="str">
        <x:v>8</x:v>
      </x:c>
      <x:c r="H67" s="84" t="n">
        <x:v>389000</x:v>
      </x:c>
      <x:c r="I67" s="90" t="n">
        <x:v>1</x:v>
      </x:c>
      <x:c r="J67" s="69" t="str">
        <x:f>IF(I67&lt;=0,"Habis",IF(I67&lt;=2,"Stok Terbatas","Tersedia"))</x:f>
        <x:v>Stok Terbatas</x:v>
      </x:c>
      <x:c r="K67" s="69" t="str">
        <x:v>Shirt</x:v>
      </x:c>
      <x:c r="L67" s="69" t="str">
        <x:v>Aktif</x:v>
      </x:c>
      <x:c r="M67" s="70" t="str"/>
    </x:row>
    <x:row r="68">
      <x:c r="A68" s="96" t="str">
        <x:v>3M31117XX2</x:v>
      </x:c>
      <x:c r="B68" s="102" t="n">
        <x:v>3</x:v>
      </x:c>
      <x:c r="C68" s="108" t="str">
        <x:v>HEART TROOPS</x:v>
      </x:c>
      <x:c r="D68" s="69" t="str">
        <x:v>PRD0029</x:v>
      </x:c>
      <x:c r="E68" s="69" t="str">
        <x:v>Bromo Top Beige (S/M)</x:v>
      </x:c>
      <x:c r="F68" s="69" t="str"/>
      <x:c r="G68" s="69" t="str">
        <x:v>S/M</x:v>
      </x:c>
      <x:c r="H68" s="84" t="n">
        <x:v>525000</x:v>
      </x:c>
      <x:c r="I68" s="90" t="n">
        <x:v>2</x:v>
      </x:c>
      <x:c r="J68" s="69" t="str">
        <x:f>IF(I68&lt;=0,"Habis",IF(I68&lt;=2,"Stok Terbatas","Tersedia"))</x:f>
        <x:v>Stok Terbatas</x:v>
      </x:c>
      <x:c r="K68" s="69" t="str">
        <x:v>Shirt</x:v>
      </x:c>
      <x:c r="L68" s="69" t="str">
        <x:v>Aktif</x:v>
      </x:c>
      <x:c r="M68" s="70" t="str"/>
    </x:row>
    <x:row r="69">
      <x:c r="A69" s="96" t="str">
        <x:v>3M100062XX0</x:v>
      </x:c>
      <x:c r="B69" s="102" t="n">
        <x:v>3</x:v>
      </x:c>
      <x:c r="C69" s="108" t="str">
        <x:v>HEART TROOPS</x:v>
      </x:c>
      <x:c r="D69" s="69" t="str">
        <x:v>PRD0014</x:v>
      </x:c>
      <x:c r="E69" s="69" t="str">
        <x:v>Canola Blouse</x:v>
      </x:c>
      <x:c r="F69" s="69" t="str"/>
      <x:c r="G69" s="69" t="str"/>
      <x:c r="H69" s="84" t="n">
        <x:v>559000</x:v>
      </x:c>
      <x:c r="I69" s="90" t="n">
        <x:v>3</x:v>
      </x:c>
      <x:c r="J69" s="69" t="str">
        <x:f>IF(I69&lt;=0,"Habis",IF(I69&lt;=2,"Stok Terbatas","Tersedia"))</x:f>
        <x:v>Tersedia</x:v>
      </x:c>
      <x:c r="K69" s="69" t="str">
        <x:v>Blouse</x:v>
      </x:c>
      <x:c r="L69" s="69" t="str">
        <x:v>Aktif</x:v>
      </x:c>
      <x:c r="M69" s="70" t="str"/>
    </x:row>
    <x:row r="70">
      <x:c r="A70" s="96" t="str">
        <x:v>3M30331XX4</x:v>
      </x:c>
      <x:c r="B70" s="102" t="n">
        <x:v>3</x:v>
      </x:c>
      <x:c r="C70" s="108" t="str">
        <x:v>HEART TROOPS</x:v>
      </x:c>
      <x:c r="D70" s="69" t="str">
        <x:v>PRD0030</x:v>
      </x:c>
      <x:c r="E70" s="69" t="str">
        <x:v>Celeste Shirt - Peaceful (L-XL)</x:v>
      </x:c>
      <x:c r="F70" s="69" t="str">
        <x:v>Peaceful</x:v>
      </x:c>
      <x:c r="G70" s="69" t="str">
        <x:v>L-XL</x:v>
      </x:c>
      <x:c r="H70" s="84" t="n">
        <x:v>525000</x:v>
      </x:c>
      <x:c r="I70" s="90" t="n">
        <x:v>1</x:v>
      </x:c>
      <x:c r="J70" s="69" t="str">
        <x:f>IF(I70&lt;=0,"Habis",IF(I70&lt;=2,"Stok Terbatas","Tersedia"))</x:f>
        <x:v>Stok Terbatas</x:v>
      </x:c>
      <x:c r="K70" s="69" t="str">
        <x:v>Shirt</x:v>
      </x:c>
      <x:c r="L70" s="69" t="str">
        <x:v>Aktif</x:v>
      </x:c>
      <x:c r="M70" s="70" t="str"/>
    </x:row>
    <x:row r="71">
      <x:c r="A71" s="96" t="str">
        <x:v>3M30622XX4</x:v>
      </x:c>
      <x:c r="B71" s="102" t="n">
        <x:v>3</x:v>
      </x:c>
      <x:c r="C71" s="108" t="str">
        <x:v>HEART TROOPS</x:v>
      </x:c>
      <x:c r="D71" s="69" t="str">
        <x:v>PRD0031</x:v>
      </x:c>
      <x:c r="E71" s="69" t="str">
        <x:v>Celestine Beige Shirt (L-XL)</x:v>
      </x:c>
      <x:c r="F71" s="69" t="str"/>
      <x:c r="G71" s="69" t="str">
        <x:v>L-XL</x:v>
      </x:c>
      <x:c r="H71" s="84" t="n">
        <x:v>595000</x:v>
      </x:c>
      <x:c r="I71" s="90" t="n">
        <x:v>1</x:v>
      </x:c>
      <x:c r="J71" s="69" t="str">
        <x:f>IF(I71&lt;=0,"Habis",IF(I71&lt;=2,"Stok Terbatas","Tersedia"))</x:f>
        <x:v>Stok Terbatas</x:v>
      </x:c>
      <x:c r="K71" s="69" t="str">
        <x:v>Shirt</x:v>
      </x:c>
      <x:c r="L71" s="69" t="str">
        <x:v>Aktif</x:v>
      </x:c>
      <x:c r="M71" s="70" t="str"/>
    </x:row>
    <x:row r="72">
      <x:c r="A72" s="96" t="str">
        <x:v>3M30616XX2</x:v>
      </x:c>
      <x:c r="B72" s="102" t="n">
        <x:v>3</x:v>
      </x:c>
      <x:c r="C72" s="108" t="str">
        <x:v>HEART TROOPS</x:v>
      </x:c>
      <x:c r="D72" s="69" t="str">
        <x:v>PRD0032</x:v>
      </x:c>
      <x:c r="E72" s="69" t="str">
        <x:v>Celestine Blue Shirt (S-M)</x:v>
      </x:c>
      <x:c r="F72" s="69" t="str"/>
      <x:c r="G72" s="69" t="str">
        <x:v>S-M</x:v>
      </x:c>
      <x:c r="H72" s="84" t="n">
        <x:v>595000</x:v>
      </x:c>
      <x:c r="I72" s="90" t="n">
        <x:v>1</x:v>
      </x:c>
      <x:c r="J72" s="69" t="str">
        <x:f>IF(I72&lt;=0,"Habis",IF(I72&lt;=2,"Stok Terbatas","Tersedia"))</x:f>
        <x:v>Stok Terbatas</x:v>
      </x:c>
      <x:c r="K72" s="69" t="str">
        <x:v>Shirt</x:v>
      </x:c>
      <x:c r="L72" s="69" t="str">
        <x:v>Aktif</x:v>
      </x:c>
      <x:c r="M72" s="70" t="str"/>
    </x:row>
    <x:row r="73">
      <x:c r="A73" s="96" t="str">
        <x:v>3M31380XX4</x:v>
      </x:c>
      <x:c r="B73" s="102" t="n">
        <x:v>3</x:v>
      </x:c>
      <x:c r="C73" s="108" t="str">
        <x:v>HEART TROOPS</x:v>
      </x:c>
      <x:c r="D73" s="69" t="str">
        <x:v>PRD0033</x:v>
      </x:c>
      <x:c r="E73" s="69" t="str">
        <x:v>Celestine Stormy Cream Shirt (L-XL)</x:v>
      </x:c>
      <x:c r="F73" s="69" t="str"/>
      <x:c r="G73" s="69" t="str">
        <x:v>L-XL</x:v>
      </x:c>
      <x:c r="H73" s="84" t="n">
        <x:v>595000</x:v>
      </x:c>
      <x:c r="I73" s="90" t="n">
        <x:v>1</x:v>
      </x:c>
      <x:c r="J73" s="69" t="str">
        <x:f>IF(I73&lt;=0,"Habis",IF(I73&lt;=2,"Stok Terbatas","Tersedia"))</x:f>
        <x:v>Stok Terbatas</x:v>
      </x:c>
      <x:c r="K73" s="69" t="str">
        <x:v>Shirt</x:v>
      </x:c>
      <x:c r="L73" s="69" t="str">
        <x:v>Aktif</x:v>
      </x:c>
      <x:c r="M73" s="70" t="str"/>
    </x:row>
    <x:row r="74">
      <x:c r="A74" s="96" t="str">
        <x:v>3M31379XX2</x:v>
      </x:c>
      <x:c r="B74" s="102" t="n">
        <x:v>3</x:v>
      </x:c>
      <x:c r="C74" s="108" t="str">
        <x:v>HEART TROOPS</x:v>
      </x:c>
      <x:c r="D74" s="69" t="str">
        <x:v>PRD0033</x:v>
      </x:c>
      <x:c r="E74" s="69" t="str">
        <x:v>Celestine Stormy Cream Shirt (S-M)</x:v>
      </x:c>
      <x:c r="F74" s="69" t="str"/>
      <x:c r="G74" s="69" t="str">
        <x:v>S-M</x:v>
      </x:c>
      <x:c r="H74" s="84" t="n">
        <x:v>595000</x:v>
      </x:c>
      <x:c r="I74" s="90" t="n">
        <x:v>2</x:v>
      </x:c>
      <x:c r="J74" s="69" t="str">
        <x:f>IF(I74&lt;=0,"Habis",IF(I74&lt;=2,"Stok Terbatas","Tersedia"))</x:f>
        <x:v>Stok Terbatas</x:v>
      </x:c>
      <x:c r="K74" s="69" t="str">
        <x:v>Shirt</x:v>
      </x:c>
      <x:c r="L74" s="69" t="str">
        <x:v>Aktif</x:v>
      </x:c>
      <x:c r="M74" s="70" t="str"/>
    </x:row>
    <x:row r="75">
      <x:c r="A75" s="96" t="str">
        <x:v>3M131931XX2</x:v>
      </x:c>
      <x:c r="B75" s="102" t="n">
        <x:v>3</x:v>
      </x:c>
      <x:c r="C75" s="108" t="str">
        <x:v>HEART TROOPS</x:v>
      </x:c>
      <x:c r="D75" s="69" t="str">
        <x:v>PRD0020</x:v>
      </x:c>
      <x:c r="E75" s="69" t="str">
        <x:v>Cempaka Pants (SM)</x:v>
      </x:c>
      <x:c r="F75" s="69" t="str"/>
      <x:c r="G75" s="69" t="str">
        <x:v>SM</x:v>
      </x:c>
      <x:c r="H75" s="84" t="n">
        <x:v>549000</x:v>
      </x:c>
      <x:c r="I75" s="90" t="n">
        <x:v>1</x:v>
      </x:c>
      <x:c r="J75" s="69" t="str">
        <x:f>IF(I75&lt;=0,"Habis",IF(I75&lt;=2,"Stok Terbatas","Tersedia"))</x:f>
        <x:v>Stok Terbatas</x:v>
      </x:c>
      <x:c r="K75" s="69" t="str">
        <x:v>Pants</x:v>
      </x:c>
      <x:c r="L75" s="69" t="str">
        <x:v>Aktif</x:v>
      </x:c>
      <x:c r="M75" s="70" t="str"/>
    </x:row>
    <x:row r="76">
      <x:c r="A76" s="96" t="str">
        <x:v>3M111917XX5</x:v>
      </x:c>
      <x:c r="B76" s="102" t="n">
        <x:v>3</x:v>
      </x:c>
      <x:c r="C76" s="108" t="str">
        <x:v>HEART TROOPS</x:v>
      </x:c>
      <x:c r="D76" s="69" t="str">
        <x:v>PRD0023</x:v>
      </x:c>
      <x:c r="E76" s="69" t="str">
        <x:v>Cendana Set Kids (11-12y)</x:v>
      </x:c>
      <x:c r="F76" s="69" t="str"/>
      <x:c r="G76" s="69" t="str">
        <x:v>11-12y</x:v>
      </x:c>
      <x:c r="H76" s="84" t="n">
        <x:v>925000</x:v>
      </x:c>
      <x:c r="I76" s="90" t="n">
        <x:v>1</x:v>
      </x:c>
      <x:c r="J76" s="69" t="str">
        <x:f>IF(I76&lt;=0,"Habis",IF(I76&lt;=2,"Stok Terbatas","Tersedia"))</x:f>
        <x:v>Stok Terbatas</x:v>
      </x:c>
      <x:c r="K76" s="69" t="str">
        <x:v>Set</x:v>
      </x:c>
      <x:c r="L76" s="69" t="str">
        <x:v>Aktif</x:v>
      </x:c>
      <x:c r="M76" s="70" t="str"/>
    </x:row>
    <x:row r="77">
      <x:c r="A77" s="96" t="str">
        <x:v>3M111913XX1</x:v>
      </x:c>
      <x:c r="B77" s="102" t="n">
        <x:v>3</x:v>
      </x:c>
      <x:c r="C77" s="108" t="str">
        <x:v>HEART TROOPS</x:v>
      </x:c>
      <x:c r="D77" s="69" t="str">
        <x:v>PRD0023</x:v>
      </x:c>
      <x:c r="E77" s="69" t="str">
        <x:v>Cendana Set Kids (3-4y)</x:v>
      </x:c>
      <x:c r="F77" s="69" t="str"/>
      <x:c r="G77" s="69" t="str">
        <x:v>3-4y</x:v>
      </x:c>
      <x:c r="H77" s="84" t="n">
        <x:v>925000</x:v>
      </x:c>
      <x:c r="I77" s="90" t="n">
        <x:v>1</x:v>
      </x:c>
      <x:c r="J77" s="69" t="str">
        <x:f>IF(I77&lt;=0,"Habis",IF(I77&lt;=2,"Stok Terbatas","Tersedia"))</x:f>
        <x:v>Stok Terbatas</x:v>
      </x:c>
      <x:c r="K77" s="69" t="str">
        <x:v>Set</x:v>
      </x:c>
      <x:c r="L77" s="69" t="str">
        <x:v>Aktif</x:v>
      </x:c>
      <x:c r="M77" s="70" t="str"/>
    </x:row>
    <x:row r="78">
      <x:c r="A78" s="96" t="str">
        <x:v>3M111914XX2</x:v>
      </x:c>
      <x:c r="B78" s="102" t="n">
        <x:v>3</x:v>
      </x:c>
      <x:c r="C78" s="108" t="str">
        <x:v>HEART TROOPS</x:v>
      </x:c>
      <x:c r="D78" s="69" t="str">
        <x:v>PRD0023</x:v>
      </x:c>
      <x:c r="E78" s="69" t="str">
        <x:v>Cendana Set Kids (5-6y)</x:v>
      </x:c>
      <x:c r="F78" s="69" t="str"/>
      <x:c r="G78" s="69" t="str">
        <x:v>5-6y</x:v>
      </x:c>
      <x:c r="H78" s="84" t="n">
        <x:v>925000</x:v>
      </x:c>
      <x:c r="I78" s="90" t="n">
        <x:v>1</x:v>
      </x:c>
      <x:c r="J78" s="69" t="str">
        <x:f>IF(I78&lt;=0,"Habis",IF(I78&lt;=2,"Stok Terbatas","Tersedia"))</x:f>
        <x:v>Stok Terbatas</x:v>
      </x:c>
      <x:c r="K78" s="69" t="str">
        <x:v>Set</x:v>
      </x:c>
      <x:c r="L78" s="69" t="str">
        <x:v>Aktif</x:v>
      </x:c>
      <x:c r="M78" s="70" t="str"/>
    </x:row>
    <x:row r="79">
      <x:c r="A79" s="96" t="str">
        <x:v>3M111915XX3</x:v>
      </x:c>
      <x:c r="B79" s="102" t="n">
        <x:v>3</x:v>
      </x:c>
      <x:c r="C79" s="108" t="str">
        <x:v>HEART TROOPS</x:v>
      </x:c>
      <x:c r="D79" s="69" t="str">
        <x:v>PRD0023</x:v>
      </x:c>
      <x:c r="E79" s="69" t="str">
        <x:v>Cendana Set Kids (7-8y)</x:v>
      </x:c>
      <x:c r="F79" s="69" t="str"/>
      <x:c r="G79" s="69" t="str">
        <x:v>7-8y</x:v>
      </x:c>
      <x:c r="H79" s="84" t="n">
        <x:v>925000</x:v>
      </x:c>
      <x:c r="I79" s="90" t="n">
        <x:v>1</x:v>
      </x:c>
      <x:c r="J79" s="69" t="str">
        <x:f>IF(I79&lt;=0,"Habis",IF(I79&lt;=2,"Stok Terbatas","Tersedia"))</x:f>
        <x:v>Stok Terbatas</x:v>
      </x:c>
      <x:c r="K79" s="69" t="str">
        <x:v>Set</x:v>
      </x:c>
      <x:c r="L79" s="69" t="str">
        <x:v>Aktif</x:v>
      </x:c>
      <x:c r="M79" s="70" t="str"/>
    </x:row>
    <x:row r="80">
      <x:c r="A80" s="96" t="str">
        <x:v>3M111916XX4</x:v>
      </x:c>
      <x:c r="B80" s="102" t="n">
        <x:v>3</x:v>
      </x:c>
      <x:c r="C80" s="108" t="str">
        <x:v>HEART TROOPS</x:v>
      </x:c>
      <x:c r="D80" s="69" t="str">
        <x:v>PRD0023</x:v>
      </x:c>
      <x:c r="E80" s="69" t="str">
        <x:v>Cendana Set Kids (9-10y)</x:v>
      </x:c>
      <x:c r="F80" s="69" t="str"/>
      <x:c r="G80" s="69" t="str">
        <x:v>9-10y</x:v>
      </x:c>
      <x:c r="H80" s="84" t="n">
        <x:v>925000</x:v>
      </x:c>
      <x:c r="I80" s="90" t="n">
        <x:v>1</x:v>
      </x:c>
      <x:c r="J80" s="69" t="str">
        <x:f>IF(I80&lt;=0,"Habis",IF(I80&lt;=2,"Stok Terbatas","Tersedia"))</x:f>
        <x:v>Stok Terbatas</x:v>
      </x:c>
      <x:c r="K80" s="69" t="str">
        <x:v>Set</x:v>
      </x:c>
      <x:c r="L80" s="69" t="str">
        <x:v>Aktif</x:v>
      </x:c>
      <x:c r="M80" s="70" t="str"/>
    </x:row>
    <x:row r="81">
      <x:c r="A81" s="96" t="str">
        <x:v>3M31738XY3</x:v>
      </x:c>
      <x:c r="B81" s="102" t="n">
        <x:v>3</x:v>
      </x:c>
      <x:c r="C81" s="108" t="str">
        <x:v>HEART TROOPS</x:v>
      </x:c>
      <x:c r="D81" s="69" t="str">
        <x:v>PRD0034</x:v>
      </x:c>
      <x:c r="E81" s="69" t="str">
        <x:v>Gaharu Koko (L)</x:v>
      </x:c>
      <x:c r="F81" s="69" t="str"/>
      <x:c r="G81" s="69" t="str">
        <x:v>L</x:v>
      </x:c>
      <x:c r="H81" s="84" t="n">
        <x:v>579000</x:v>
      </x:c>
      <x:c r="I81" s="90" t="n">
        <x:v>1</x:v>
      </x:c>
      <x:c r="J81" s="69" t="str">
        <x:f>IF(I81&lt;=0,"Habis",IF(I81&lt;=2,"Stok Terbatas","Tersedia"))</x:f>
        <x:v>Stok Terbatas</x:v>
      </x:c>
      <x:c r="K81" s="69" t="str">
        <x:v>Shirt</x:v>
      </x:c>
      <x:c r="L81" s="69" t="str">
        <x:v>Aktif</x:v>
      </x:c>
      <x:c r="M81" s="70" t="str"/>
    </x:row>
    <x:row r="82">
      <x:c r="A82" s="96" t="str">
        <x:v>3M31758XY5</x:v>
      </x:c>
      <x:c r="B82" s="102" t="n">
        <x:v>3</x:v>
      </x:c>
      <x:c r="C82" s="108" t="str">
        <x:v>HEART TROOPS</x:v>
      </x:c>
      <x:c r="D82" s="69" t="str">
        <x:v>PRD0035</x:v>
      </x:c>
      <x:c r="E82" s="69" t="str">
        <x:v>Gaharu Koko Kids (11-12y)</x:v>
      </x:c>
      <x:c r="F82" s="69" t="str"/>
      <x:c r="G82" s="69" t="str">
        <x:v>11-12y</x:v>
      </x:c>
      <x:c r="H82" s="84" t="n">
        <x:v>449000</x:v>
      </x:c>
      <x:c r="I82" s="90" t="n">
        <x:v>1</x:v>
      </x:c>
      <x:c r="J82" s="69" t="str">
        <x:f>IF(I82&lt;=0,"Habis",IF(I82&lt;=2,"Stok Terbatas","Tersedia"))</x:f>
        <x:v>Stok Terbatas</x:v>
      </x:c>
      <x:c r="K82" s="69" t="str">
        <x:v>Shirt</x:v>
      </x:c>
      <x:c r="L82" s="69" t="str">
        <x:v>Aktif</x:v>
      </x:c>
      <x:c r="M82" s="70" t="str"/>
    </x:row>
    <x:row r="83">
      <x:c r="A83" s="96" t="str">
        <x:v>3M31756XY1</x:v>
      </x:c>
      <x:c r="B83" s="102" t="n">
        <x:v>3</x:v>
      </x:c>
      <x:c r="C83" s="108" t="str">
        <x:v>HEART TROOPS</x:v>
      </x:c>
      <x:c r="D83" s="69" t="str">
        <x:v>PRD0035</x:v>
      </x:c>
      <x:c r="E83" s="69" t="str">
        <x:v>Gaharu Koko Kids (3-4y)</x:v>
      </x:c>
      <x:c r="F83" s="69" t="str"/>
      <x:c r="G83" s="69" t="str">
        <x:v>3-4y</x:v>
      </x:c>
      <x:c r="H83" s="84" t="n">
        <x:v>449000</x:v>
      </x:c>
      <x:c r="I83" s="90" t="n">
        <x:v>1</x:v>
      </x:c>
      <x:c r="J83" s="69" t="str">
        <x:f>IF(I83&lt;=0,"Habis",IF(I83&lt;=2,"Stok Terbatas","Tersedia"))</x:f>
        <x:v>Stok Terbatas</x:v>
      </x:c>
      <x:c r="K83" s="69" t="str">
        <x:v>Shirt</x:v>
      </x:c>
      <x:c r="L83" s="69" t="str">
        <x:v>Aktif</x:v>
      </x:c>
      <x:c r="M83" s="70" t="str"/>
    </x:row>
    <x:row r="84">
      <x:c r="A84" s="96" t="str">
        <x:v>3M31740XY2</x:v>
      </x:c>
      <x:c r="B84" s="102" t="n">
        <x:v>3</x:v>
      </x:c>
      <x:c r="C84" s="108" t="str">
        <x:v>HEART TROOPS</x:v>
      </x:c>
      <x:c r="D84" s="69" t="str">
        <x:v>PRD0035</x:v>
      </x:c>
      <x:c r="E84" s="69" t="str">
        <x:v>Gaharu Koko Kids (5-6y)</x:v>
      </x:c>
      <x:c r="F84" s="69" t="str"/>
      <x:c r="G84" s="69" t="str">
        <x:v>5-6y</x:v>
      </x:c>
      <x:c r="H84" s="84" t="n">
        <x:v>449000</x:v>
      </x:c>
      <x:c r="I84" s="90" t="n">
        <x:v>2</x:v>
      </x:c>
      <x:c r="J84" s="69" t="str">
        <x:f>IF(I84&lt;=0,"Habis",IF(I84&lt;=2,"Stok Terbatas","Tersedia"))</x:f>
        <x:v>Stok Terbatas</x:v>
      </x:c>
      <x:c r="K84" s="69" t="str">
        <x:v>Shirt</x:v>
      </x:c>
      <x:c r="L84" s="69" t="str">
        <x:v>Aktif</x:v>
      </x:c>
      <x:c r="M84" s="70" t="str"/>
    </x:row>
    <x:row r="85">
      <x:c r="A85" s="96" t="str">
        <x:v>3M31741XY3</x:v>
      </x:c>
      <x:c r="B85" s="102" t="n">
        <x:v>3</x:v>
      </x:c>
      <x:c r="C85" s="108" t="str">
        <x:v>HEART TROOPS</x:v>
      </x:c>
      <x:c r="D85" s="69" t="str">
        <x:v>PRD0035</x:v>
      </x:c>
      <x:c r="E85" s="69" t="str">
        <x:v>Gaharu Koko Kids (7-8y)</x:v>
      </x:c>
      <x:c r="F85" s="69" t="str"/>
      <x:c r="G85" s="69" t="str">
        <x:v>7-8y</x:v>
      </x:c>
      <x:c r="H85" s="84" t="n">
        <x:v>449000</x:v>
      </x:c>
      <x:c r="I85" s="90" t="n">
        <x:v>1</x:v>
      </x:c>
      <x:c r="J85" s="69" t="str">
        <x:f>IF(I85&lt;=0,"Habis",IF(I85&lt;=2,"Stok Terbatas","Tersedia"))</x:f>
        <x:v>Stok Terbatas</x:v>
      </x:c>
      <x:c r="K85" s="69" t="str">
        <x:v>Shirt</x:v>
      </x:c>
      <x:c r="L85" s="69" t="str">
        <x:v>Aktif</x:v>
      </x:c>
      <x:c r="M85" s="70" t="str"/>
    </x:row>
    <x:row r="86">
      <x:c r="A86" s="96" t="str">
        <x:v>3M31757XY4</x:v>
      </x:c>
      <x:c r="B86" s="102" t="n">
        <x:v>3</x:v>
      </x:c>
      <x:c r="C86" s="108" t="str">
        <x:v>HEART TROOPS</x:v>
      </x:c>
      <x:c r="D86" s="69" t="str">
        <x:v>PRD0035</x:v>
      </x:c>
      <x:c r="E86" s="69" t="str">
        <x:v>Gaharu Koko Kids (9-10y)</x:v>
      </x:c>
      <x:c r="F86" s="69" t="str"/>
      <x:c r="G86" s="69" t="str">
        <x:v>9-10y</x:v>
      </x:c>
      <x:c r="H86" s="84" t="n">
        <x:v>449000</x:v>
      </x:c>
      <x:c r="I86" s="90" t="n">
        <x:v>1</x:v>
      </x:c>
      <x:c r="J86" s="69" t="str">
        <x:f>IF(I86&lt;=0,"Habis",IF(I86&lt;=2,"Stok Terbatas","Tersedia"))</x:f>
        <x:v>Stok Terbatas</x:v>
      </x:c>
      <x:c r="K86" s="69" t="str">
        <x:v>Shirt</x:v>
      </x:c>
      <x:c r="L86" s="69" t="str">
        <x:v>Aktif</x:v>
      </x:c>
      <x:c r="M86" s="70" t="str"/>
    </x:row>
    <x:row r="87">
      <x:c r="A87" s="96" t="str">
        <x:v>3M31930XY5</x:v>
      </x:c>
      <x:c r="B87" s="102" t="n">
        <x:v>3</x:v>
      </x:c>
      <x:c r="C87" s="108" t="str">
        <x:v>HEART TROOPS</x:v>
      </x:c>
      <x:c r="D87" s="69" t="str">
        <x:v>PRD0036</x:v>
      </x:c>
      <x:c r="E87" s="69" t="str">
        <x:v>Jati Koko Kids (11-12y)</x:v>
      </x:c>
      <x:c r="F87" s="69" t="str"/>
      <x:c r="G87" s="69" t="str">
        <x:v>11-12y</x:v>
      </x:c>
      <x:c r="H87" s="84" t="n">
        <x:v>449000</x:v>
      </x:c>
      <x:c r="I87" s="90" t="n">
        <x:v>1</x:v>
      </x:c>
      <x:c r="J87" s="69" t="str">
        <x:f>IF(I87&lt;=0,"Habis",IF(I87&lt;=2,"Stok Terbatas","Tersedia"))</x:f>
        <x:v>Stok Terbatas</x:v>
      </x:c>
      <x:c r="K87" s="69" t="str">
        <x:v>Shirt</x:v>
      </x:c>
      <x:c r="L87" s="69" t="str">
        <x:v>Aktif</x:v>
      </x:c>
      <x:c r="M87" s="70" t="str"/>
    </x:row>
    <x:row r="88">
      <x:c r="A88" s="96" t="str">
        <x:v>3M31929XY4</x:v>
      </x:c>
      <x:c r="B88" s="102" t="n">
        <x:v>3</x:v>
      </x:c>
      <x:c r="C88" s="108" t="str">
        <x:v>HEART TROOPS</x:v>
      </x:c>
      <x:c r="D88" s="69" t="str">
        <x:v>PRD0036</x:v>
      </x:c>
      <x:c r="E88" s="69" t="str">
        <x:v>Jati Koko Kids (9-10y)</x:v>
      </x:c>
      <x:c r="F88" s="69" t="str"/>
      <x:c r="G88" s="69" t="str">
        <x:v>9-10y</x:v>
      </x:c>
      <x:c r="H88" s="84" t="n">
        <x:v>449000</x:v>
      </x:c>
      <x:c r="I88" s="90" t="n">
        <x:v>2</x:v>
      </x:c>
      <x:c r="J88" s="69" t="str">
        <x:f>IF(I88&lt;=0,"Habis",IF(I88&lt;=2,"Stok Terbatas","Tersedia"))</x:f>
        <x:v>Stok Terbatas</x:v>
      </x:c>
      <x:c r="K88" s="69" t="str">
        <x:v>Shirt</x:v>
      </x:c>
      <x:c r="L88" s="69" t="str">
        <x:v>Aktif</x:v>
      </x:c>
      <x:c r="M88" s="70" t="str"/>
    </x:row>
    <x:row r="89">
      <x:c r="A89" s="96" t="str">
        <x:v>3M20634XX5</x:v>
      </x:c>
      <x:c r="B89" s="102" t="n">
        <x:v>3</x:v>
      </x:c>
      <x:c r="C89" s="108" t="str">
        <x:v>HEART TROOPS</x:v>
      </x:c>
      <x:c r="D89" s="69" t="str">
        <x:v>PRD0017</x:v>
      </x:c>
      <x:c r="E89" s="69" t="str">
        <x:v>Keita Dress (11-12)</x:v>
      </x:c>
      <x:c r="F89" s="69" t="str"/>
      <x:c r="G89" s="69" t="str">
        <x:v>11-12</x:v>
      </x:c>
      <x:c r="H89" s="84" t="n">
        <x:v>785000</x:v>
      </x:c>
      <x:c r="I89" s="90" t="n">
        <x:v>2</x:v>
      </x:c>
      <x:c r="J89" s="69" t="str">
        <x:f>IF(I89&lt;=0,"Habis",IF(I89&lt;=2,"Stok Terbatas","Tersedia"))</x:f>
        <x:v>Stok Terbatas</x:v>
      </x:c>
      <x:c r="K89" s="69" t="str">
        <x:v>Dress</x:v>
      </x:c>
      <x:c r="L89" s="69" t="str">
        <x:v>Aktif</x:v>
      </x:c>
      <x:c r="M89" s="70" t="str"/>
    </x:row>
    <x:row r="90">
      <x:c r="A90" s="96" t="str">
        <x:v>3M20630XX1</x:v>
      </x:c>
      <x:c r="B90" s="102" t="n">
        <x:v>3</x:v>
      </x:c>
      <x:c r="C90" s="108" t="str">
        <x:v>HEART TROOPS</x:v>
      </x:c>
      <x:c r="D90" s="69" t="str">
        <x:v>PRD0017</x:v>
      </x:c>
      <x:c r="E90" s="69" t="str">
        <x:v>Keita Dress (3-4)</x:v>
      </x:c>
      <x:c r="F90" s="69" t="str"/>
      <x:c r="G90" s="69" t="str">
        <x:v>3-4</x:v>
      </x:c>
      <x:c r="H90" s="84" t="n">
        <x:v>785000</x:v>
      </x:c>
      <x:c r="I90" s="90" t="n">
        <x:v>1</x:v>
      </x:c>
      <x:c r="J90" s="69" t="str">
        <x:f>IF(I90&lt;=0,"Habis",IF(I90&lt;=2,"Stok Terbatas","Tersedia"))</x:f>
        <x:v>Stok Terbatas</x:v>
      </x:c>
      <x:c r="K90" s="69" t="str">
        <x:v>Dress</x:v>
      </x:c>
      <x:c r="L90" s="69" t="str">
        <x:v>Aktif</x:v>
      </x:c>
      <x:c r="M90" s="70" t="str"/>
    </x:row>
    <x:row r="91">
      <x:c r="A91" s="96" t="str">
        <x:v>3M20631XX2</x:v>
      </x:c>
      <x:c r="B91" s="102" t="n">
        <x:v>3</x:v>
      </x:c>
      <x:c r="C91" s="108" t="str">
        <x:v>HEART TROOPS</x:v>
      </x:c>
      <x:c r="D91" s="69" t="str">
        <x:v>PRD0017</x:v>
      </x:c>
      <x:c r="E91" s="69" t="str">
        <x:v>Keita Dress (5-6)</x:v>
      </x:c>
      <x:c r="F91" s="69" t="str"/>
      <x:c r="G91" s="69" t="str">
        <x:v>5-6</x:v>
      </x:c>
      <x:c r="H91" s="84" t="n">
        <x:v>785000</x:v>
      </x:c>
      <x:c r="I91" s="90" t="n">
        <x:v>1</x:v>
      </x:c>
      <x:c r="J91" s="69" t="str">
        <x:f>IF(I91&lt;=0,"Habis",IF(I91&lt;=2,"Stok Terbatas","Tersedia"))</x:f>
        <x:v>Stok Terbatas</x:v>
      </x:c>
      <x:c r="K91" s="69" t="str">
        <x:v>Dress</x:v>
      </x:c>
      <x:c r="L91" s="69" t="str">
        <x:v>Aktif</x:v>
      </x:c>
      <x:c r="M91" s="70" t="str"/>
    </x:row>
    <x:row r="92">
      <x:c r="A92" s="96" t="str">
        <x:v>3M20632XX3</x:v>
      </x:c>
      <x:c r="B92" s="102" t="n">
        <x:v>3</x:v>
      </x:c>
      <x:c r="C92" s="108" t="str">
        <x:v>HEART TROOPS</x:v>
      </x:c>
      <x:c r="D92" s="69" t="str">
        <x:v>PRD0017</x:v>
      </x:c>
      <x:c r="E92" s="69" t="str">
        <x:v>Keita Dress (7-8)</x:v>
      </x:c>
      <x:c r="F92" s="69" t="str"/>
      <x:c r="G92" s="69" t="str">
        <x:v>7-8</x:v>
      </x:c>
      <x:c r="H92" s="84" t="n">
        <x:v>785000</x:v>
      </x:c>
      <x:c r="I92" s="90" t="n">
        <x:v>1</x:v>
      </x:c>
      <x:c r="J92" s="69" t="str">
        <x:f>IF(I92&lt;=0,"Habis",IF(I92&lt;=2,"Stok Terbatas","Tersedia"))</x:f>
        <x:v>Stok Terbatas</x:v>
      </x:c>
      <x:c r="K92" s="69" t="str">
        <x:v>Dress</x:v>
      </x:c>
      <x:c r="L92" s="69" t="str">
        <x:v>Aktif</x:v>
      </x:c>
      <x:c r="M92" s="70" t="str"/>
    </x:row>
    <x:row r="93">
      <x:c r="A93" s="96" t="str">
        <x:v>3M20633XX4</x:v>
      </x:c>
      <x:c r="B93" s="102" t="n">
        <x:v>3</x:v>
      </x:c>
      <x:c r="C93" s="108" t="str">
        <x:v>HEART TROOPS</x:v>
      </x:c>
      <x:c r="D93" s="69" t="str">
        <x:v>PRD0017</x:v>
      </x:c>
      <x:c r="E93" s="69" t="str">
        <x:v>Keita Dress (9-10)</x:v>
      </x:c>
      <x:c r="F93" s="69" t="str"/>
      <x:c r="G93" s="69" t="str">
        <x:v>9-10</x:v>
      </x:c>
      <x:c r="H93" s="84" t="n">
        <x:v>785000</x:v>
      </x:c>
      <x:c r="I93" s="90" t="n">
        <x:v>2</x:v>
      </x:c>
      <x:c r="J93" s="69" t="str">
        <x:f>IF(I93&lt;=0,"Habis",IF(I93&lt;=2,"Stok Terbatas","Tersedia"))</x:f>
        <x:v>Stok Terbatas</x:v>
      </x:c>
      <x:c r="K93" s="69" t="str">
        <x:v>Dress</x:v>
      </x:c>
      <x:c r="L93" s="69" t="str">
        <x:v>Aktif</x:v>
      </x:c>
      <x:c r="M93" s="70" t="str"/>
    </x:row>
    <x:row r="94">
      <x:c r="A94" s="96" t="str">
        <x:v>3M21752XX1</x:v>
      </x:c>
      <x:c r="B94" s="102" t="n">
        <x:v>3</x:v>
      </x:c>
      <x:c r="C94" s="108" t="str">
        <x:v>HEART TROOPS</x:v>
      </x:c>
      <x:c r="D94" s="69" t="str">
        <x:v>PRD0018</x:v>
      </x:c>
      <x:c r="E94" s="69" t="str">
        <x:v>Kenanga Dress Kids (3-4y)</x:v>
      </x:c>
      <x:c r="F94" s="69" t="str"/>
      <x:c r="G94" s="69" t="str">
        <x:v>3-4y</x:v>
      </x:c>
      <x:c r="H94" s="84" t="n">
        <x:v>879000</x:v>
      </x:c>
      <x:c r="I94" s="90" t="n">
        <x:v>1</x:v>
      </x:c>
      <x:c r="J94" s="69" t="str">
        <x:f>IF(I94&lt;=0,"Habis",IF(I94&lt;=2,"Stok Terbatas","Tersedia"))</x:f>
        <x:v>Stok Terbatas</x:v>
      </x:c>
      <x:c r="K94" s="69" t="str">
        <x:v>Dress</x:v>
      </x:c>
      <x:c r="L94" s="69" t="str">
        <x:v>Aktif</x:v>
      </x:c>
      <x:c r="M94" s="70" t="str"/>
    </x:row>
    <x:row r="95">
      <x:c r="A95" s="96" t="str">
        <x:v>3M21799XX3</x:v>
      </x:c>
      <x:c r="B95" s="102" t="n">
        <x:v>3</x:v>
      </x:c>
      <x:c r="C95" s="108" t="str">
        <x:v>HEART TROOPS</x:v>
      </x:c>
      <x:c r="D95" s="69" t="str">
        <x:v>PRD0018</x:v>
      </x:c>
      <x:c r="E95" s="69" t="str">
        <x:v>Kenanga Dress Kids (7-8y)</x:v>
      </x:c>
      <x:c r="F95" s="69" t="str"/>
      <x:c r="G95" s="69" t="str">
        <x:v>7-8y</x:v>
      </x:c>
      <x:c r="H95" s="84" t="n">
        <x:v>879000</x:v>
      </x:c>
      <x:c r="I95" s="90" t="n">
        <x:v>1</x:v>
      </x:c>
      <x:c r="J95" s="69" t="str">
        <x:f>IF(I95&lt;=0,"Habis",IF(I95&lt;=2,"Stok Terbatas","Tersedia"))</x:f>
        <x:v>Stok Terbatas</x:v>
      </x:c>
      <x:c r="K95" s="69" t="str">
        <x:v>Dress</x:v>
      </x:c>
      <x:c r="L95" s="69" t="str">
        <x:v>Aktif</x:v>
      </x:c>
      <x:c r="M95" s="70" t="str"/>
    </x:row>
    <x:row r="96">
      <x:c r="A96" s="96" t="str">
        <x:v>3M21754XX4</x:v>
      </x:c>
      <x:c r="B96" s="102" t="n">
        <x:v>3</x:v>
      </x:c>
      <x:c r="C96" s="108" t="str">
        <x:v>HEART TROOPS</x:v>
      </x:c>
      <x:c r="D96" s="69" t="str">
        <x:v>PRD0018</x:v>
      </x:c>
      <x:c r="E96" s="69" t="str">
        <x:v>Kenanga Dress Kids (9-10y)</x:v>
      </x:c>
      <x:c r="F96" s="69" t="str"/>
      <x:c r="G96" s="69" t="str">
        <x:v>9-10y</x:v>
      </x:c>
      <x:c r="H96" s="84" t="n">
        <x:v>949000</x:v>
      </x:c>
      <x:c r="I96" s="90" t="n">
        <x:v>1</x:v>
      </x:c>
      <x:c r="J96" s="69" t="str">
        <x:f>IF(I96&lt;=0,"Habis",IF(I96&lt;=2,"Stok Terbatas","Tersedia"))</x:f>
        <x:v>Stok Terbatas</x:v>
      </x:c>
      <x:c r="K96" s="69" t="str">
        <x:v>Dress</x:v>
      </x:c>
      <x:c r="L96" s="69" t="str">
        <x:v>Aktif</x:v>
      </x:c>
      <x:c r="M96" s="70" t="str"/>
    </x:row>
    <x:row r="97">
      <x:c r="A97" s="96" t="str">
        <x:v>3M30059XX0</x:v>
      </x:c>
      <x:c r="B97" s="102" t="n">
        <x:v>3</x:v>
      </x:c>
      <x:c r="C97" s="108" t="str">
        <x:v>HEART TROOPS</x:v>
      </x:c>
      <x:c r="D97" s="69" t="str">
        <x:v>PRD0037</x:v>
      </x:c>
      <x:c r="E97" s="69" t="str">
        <x:v>Majori Shirt - Blue / L-XL</x:v>
      </x:c>
      <x:c r="F97" s="69" t="str">
        <x:v>Blue</x:v>
      </x:c>
      <x:c r="G97" s="69" t="str">
        <x:v>L-XL</x:v>
      </x:c>
      <x:c r="H97" s="84" t="n">
        <x:v>525000</x:v>
      </x:c>
      <x:c r="I97" s="90" t="n">
        <x:v>2</x:v>
      </x:c>
      <x:c r="J97" s="69" t="str">
        <x:f>IF(I97&lt;=0,"Habis",IF(I97&lt;=2,"Stok Terbatas","Tersedia"))</x:f>
        <x:v>Stok Terbatas</x:v>
      </x:c>
      <x:c r="K97" s="69" t="str">
        <x:v>Shirt</x:v>
      </x:c>
      <x:c r="L97" s="69" t="str">
        <x:v>Aktif</x:v>
      </x:c>
      <x:c r="M97" s="70" t="str"/>
    </x:row>
    <x:row r="98">
      <x:c r="A98" s="96" t="str">
        <x:v>3M131920XX2</x:v>
      </x:c>
      <x:c r="B98" s="102" t="n">
        <x:v>3</x:v>
      </x:c>
      <x:c r="C98" s="108" t="str">
        <x:v>HEART TROOPS</x:v>
      </x:c>
      <x:c r="D98" s="69" t="str">
        <x:v>PRD0021</x:v>
      </x:c>
      <x:c r="E98" s="69" t="str">
        <x:v>Manau Pants (SM)</x:v>
      </x:c>
      <x:c r="F98" s="69" t="str"/>
      <x:c r="G98" s="69" t="str">
        <x:v>SM</x:v>
      </x:c>
      <x:c r="H98" s="84" t="n">
        <x:v>549000</x:v>
      </x:c>
      <x:c r="I98" s="90" t="n">
        <x:v>1</x:v>
      </x:c>
      <x:c r="J98" s="69" t="str">
        <x:f>IF(I98&lt;=0,"Habis",IF(I98&lt;=2,"Stok Terbatas","Tersedia"))</x:f>
        <x:v>Stok Terbatas</x:v>
      </x:c>
      <x:c r="K98" s="69" t="str">
        <x:v>Pants</x:v>
      </x:c>
      <x:c r="L98" s="69" t="str">
        <x:v>Aktif</x:v>
      </x:c>
      <x:c r="M98" s="70" t="str"/>
    </x:row>
    <x:row r="99">
      <x:c r="A99" s="96" t="str">
        <x:v>3M30061XX4</x:v>
      </x:c>
      <x:c r="B99" s="102" t="n">
        <x:v>3</x:v>
      </x:c>
      <x:c r="C99" s="108" t="str">
        <x:v>HEART TROOPS</x:v>
      </x:c>
      <x:c r="D99" s="69" t="str">
        <x:v>PRD0038</x:v>
      </x:c>
      <x:c r="E99" s="69" t="str">
        <x:v>Myra Top / L-XL</x:v>
      </x:c>
      <x:c r="F99" s="69" t="str"/>
      <x:c r="G99" s="69" t="str">
        <x:v>L-XL</x:v>
      </x:c>
      <x:c r="H99" s="84" t="n">
        <x:v>799000</x:v>
      </x:c>
      <x:c r="I99" s="90" t="n">
        <x:v>2</x:v>
      </x:c>
      <x:c r="J99" s="69" t="str">
        <x:f>IF(I99&lt;=0,"Habis",IF(I99&lt;=2,"Stok Terbatas","Tersedia"))</x:f>
        <x:v>Stok Terbatas</x:v>
      </x:c>
      <x:c r="K99" s="69" t="str">
        <x:v>Shirt</x:v>
      </x:c>
      <x:c r="L99" s="69" t="str">
        <x:v>Aktif</x:v>
      </x:c>
      <x:c r="M99" s="70" t="str"/>
    </x:row>
    <x:row r="100">
      <x:c r="A100" s="96" t="str">
        <x:v>3M30060XX2</x:v>
      </x:c>
      <x:c r="B100" s="102" t="n">
        <x:v>3</x:v>
      </x:c>
      <x:c r="C100" s="108" t="str">
        <x:v>HEART TROOPS</x:v>
      </x:c>
      <x:c r="D100" s="69" t="str">
        <x:v>PRD0038</x:v>
      </x:c>
      <x:c r="E100" s="69" t="str">
        <x:v>Myra Top / S-M</x:v>
      </x:c>
      <x:c r="F100" s="69" t="str"/>
      <x:c r="G100" s="69" t="str">
        <x:v>S-M</x:v>
      </x:c>
      <x:c r="H100" s="84" t="n">
        <x:v>799000</x:v>
      </x:c>
      <x:c r="I100" s="90" t="n">
        <x:v>2</x:v>
      </x:c>
      <x:c r="J100" s="69" t="str">
        <x:f>IF(I100&lt;=0,"Habis",IF(I100&lt;=2,"Stok Terbatas","Tersedia"))</x:f>
        <x:v>Stok Terbatas</x:v>
      </x:c>
      <x:c r="K100" s="69" t="str">
        <x:v>Shirt</x:v>
      </x:c>
      <x:c r="L100" s="69" t="str">
        <x:v>Aktif</x:v>
      </x:c>
      <x:c r="M100" s="70" t="str"/>
    </x:row>
    <x:row r="101">
      <x:c r="A101" s="96" t="str">
        <x:v>3M30391XY4</x:v>
      </x:c>
      <x:c r="B101" s="102" t="n">
        <x:v>3</x:v>
      </x:c>
      <x:c r="C101" s="108" t="str">
        <x:v>HEART TROOPS</x:v>
      </x:c>
      <x:c r="D101" s="69" t="str">
        <x:v>PRD0039</x:v>
      </x:c>
      <x:c r="E101" s="69" t="str">
        <x:v>Nayo Koko Shirt Kids (10)</x:v>
      </x:c>
      <x:c r="F101" s="69" t="str"/>
      <x:c r="G101" s="69" t="str">
        <x:v>10</x:v>
      </x:c>
      <x:c r="H101" s="84" t="n">
        <x:v>389000</x:v>
      </x:c>
      <x:c r="I101" s="90" t="n">
        <x:v>1</x:v>
      </x:c>
      <x:c r="J101" s="69" t="str">
        <x:f>IF(I101&lt;=0,"Habis",IF(I101&lt;=2,"Stok Terbatas","Tersedia"))</x:f>
        <x:v>Stok Terbatas</x:v>
      </x:c>
      <x:c r="K101" s="69" t="str">
        <x:v>Shirt</x:v>
      </x:c>
      <x:c r="L101" s="69" t="str">
        <x:v>Aktif</x:v>
      </x:c>
      <x:c r="M101" s="70" t="str"/>
    </x:row>
    <x:row r="102">
      <x:c r="A102" s="96" t="str">
        <x:v>3M30392XY5</x:v>
      </x:c>
      <x:c r="B102" s="102" t="n">
        <x:v>3</x:v>
      </x:c>
      <x:c r="C102" s="108" t="str">
        <x:v>HEART TROOPS</x:v>
      </x:c>
      <x:c r="D102" s="69" t="str">
        <x:v>PRD0039</x:v>
      </x:c>
      <x:c r="E102" s="69" t="str">
        <x:v>Nayo Koko Shirt Kids (12)</x:v>
      </x:c>
      <x:c r="F102" s="69" t="str"/>
      <x:c r="G102" s="69" t="str">
        <x:v>12</x:v>
      </x:c>
      <x:c r="H102" s="84" t="n">
        <x:v>389000</x:v>
      </x:c>
      <x:c r="I102" s="90" t="n">
        <x:v>1</x:v>
      </x:c>
      <x:c r="J102" s="69" t="str">
        <x:f>IF(I102&lt;=0,"Habis",IF(I102&lt;=2,"Stok Terbatas","Tersedia"))</x:f>
        <x:v>Stok Terbatas</x:v>
      </x:c>
      <x:c r="K102" s="69" t="str">
        <x:v>Shirt</x:v>
      </x:c>
      <x:c r="L102" s="69" t="str">
        <x:v>Aktif</x:v>
      </x:c>
      <x:c r="M102" s="70" t="str"/>
    </x:row>
    <x:row r="103">
      <x:c r="A103" s="96" t="str">
        <x:v>3M30388XY1</x:v>
      </x:c>
      <x:c r="B103" s="102" t="n">
        <x:v>3</x:v>
      </x:c>
      <x:c r="C103" s="108" t="str">
        <x:v>HEART TROOPS</x:v>
      </x:c>
      <x:c r="D103" s="69" t="str">
        <x:v>PRD0039</x:v>
      </x:c>
      <x:c r="E103" s="69" t="str">
        <x:v>Nayo Koko Shirt Kids (4)</x:v>
      </x:c>
      <x:c r="F103" s="69" t="str"/>
      <x:c r="G103" s="69" t="str">
        <x:v>4</x:v>
      </x:c>
      <x:c r="H103" s="84" t="n">
        <x:v>389000</x:v>
      </x:c>
      <x:c r="I103" s="90" t="n">
        <x:v>2</x:v>
      </x:c>
      <x:c r="J103" s="69" t="str">
        <x:f>IF(I103&lt;=0,"Habis",IF(I103&lt;=2,"Stok Terbatas","Tersedia"))</x:f>
        <x:v>Stok Terbatas</x:v>
      </x:c>
      <x:c r="K103" s="69" t="str">
        <x:v>Shirt</x:v>
      </x:c>
      <x:c r="L103" s="69" t="str">
        <x:v>Aktif</x:v>
      </x:c>
      <x:c r="M103" s="70" t="str"/>
    </x:row>
    <x:row r="104">
      <x:c r="A104" s="96" t="str">
        <x:v>3M30389XY2</x:v>
      </x:c>
      <x:c r="B104" s="102" t="n">
        <x:v>3</x:v>
      </x:c>
      <x:c r="C104" s="108" t="str">
        <x:v>HEART TROOPS</x:v>
      </x:c>
      <x:c r="D104" s="69" t="str">
        <x:v>PRD0039</x:v>
      </x:c>
      <x:c r="E104" s="69" t="str">
        <x:v>Nayo Koko Shirt Kids (6)</x:v>
      </x:c>
      <x:c r="F104" s="69" t="str"/>
      <x:c r="G104" s="69" t="str">
        <x:v>6</x:v>
      </x:c>
      <x:c r="H104" s="84" t="n">
        <x:v>389000</x:v>
      </x:c>
      <x:c r="I104" s="90" t="n">
        <x:v>1</x:v>
      </x:c>
      <x:c r="J104" s="69" t="str">
        <x:f>IF(I104&lt;=0,"Habis",IF(I104&lt;=2,"Stok Terbatas","Tersedia"))</x:f>
        <x:v>Stok Terbatas</x:v>
      </x:c>
      <x:c r="K104" s="69" t="str">
        <x:v>Shirt</x:v>
      </x:c>
      <x:c r="L104" s="69" t="str">
        <x:v>Aktif</x:v>
      </x:c>
      <x:c r="M104" s="70" t="str"/>
    </x:row>
    <x:row r="105">
      <x:c r="A105" s="96" t="str">
        <x:v>3M30390XY3</x:v>
      </x:c>
      <x:c r="B105" s="102" t="n">
        <x:v>3</x:v>
      </x:c>
      <x:c r="C105" s="108" t="str">
        <x:v>HEART TROOPS</x:v>
      </x:c>
      <x:c r="D105" s="69" t="str">
        <x:v>PRD0039</x:v>
      </x:c>
      <x:c r="E105" s="69" t="str">
        <x:v>Nayo Koko Shirt Kids (8)</x:v>
      </x:c>
      <x:c r="F105" s="69" t="str"/>
      <x:c r="G105" s="69" t="str">
        <x:v>8</x:v>
      </x:c>
      <x:c r="H105" s="84" t="n">
        <x:v>389000</x:v>
      </x:c>
      <x:c r="I105" s="90" t="n">
        <x:v>1</x:v>
      </x:c>
      <x:c r="J105" s="69" t="str">
        <x:f>IF(I105&lt;=0,"Habis",IF(I105&lt;=2,"Stok Terbatas","Tersedia"))</x:f>
        <x:v>Stok Terbatas</x:v>
      </x:c>
      <x:c r="K105" s="69" t="str">
        <x:v>Shirt</x:v>
      </x:c>
      <x:c r="L105" s="69" t="str">
        <x:v>Aktif</x:v>
      </x:c>
      <x:c r="M105" s="70" t="str"/>
    </x:row>
    <x:row r="106">
      <x:c r="A106" s="96" t="str">
        <x:v>3M30526XY3</x:v>
      </x:c>
      <x:c r="B106" s="102" t="n">
        <x:v>3</x:v>
      </x:c>
      <x:c r="C106" s="108" t="str">
        <x:v>HEART TROOPS</x:v>
      </x:c>
      <x:c r="D106" s="69" t="str">
        <x:v>PRD0040</x:v>
      </x:c>
      <x:c r="E106" s="69" t="str">
        <x:v>Niaz Koko Kids (7-8)</x:v>
      </x:c>
      <x:c r="F106" s="69" t="str"/>
      <x:c r="G106" s="69" t="str">
        <x:v>7-8</x:v>
      </x:c>
      <x:c r="H106" s="84" t="n">
        <x:v>399000</x:v>
      </x:c>
      <x:c r="I106" s="90" t="n">
        <x:v>1</x:v>
      </x:c>
      <x:c r="J106" s="69" t="str">
        <x:f>IF(I106&lt;=0,"Habis",IF(I106&lt;=2,"Stok Terbatas","Tersedia"))</x:f>
        <x:v>Stok Terbatas</x:v>
      </x:c>
      <x:c r="K106" s="69" t="str">
        <x:v>Shirt</x:v>
      </x:c>
      <x:c r="L106" s="69" t="str">
        <x:v>Aktif</x:v>
      </x:c>
      <x:c r="M106" s="70" t="str"/>
    </x:row>
    <x:row r="107">
      <x:c r="A107" s="96" t="str">
        <x:v>3M30527XY4</x:v>
      </x:c>
      <x:c r="B107" s="102" t="n">
        <x:v>3</x:v>
      </x:c>
      <x:c r="C107" s="108" t="str">
        <x:v>HEART TROOPS</x:v>
      </x:c>
      <x:c r="D107" s="69" t="str">
        <x:v>PRD0040</x:v>
      </x:c>
      <x:c r="E107" s="69" t="str">
        <x:v>Niaz Koko Kids (9-10)</x:v>
      </x:c>
      <x:c r="F107" s="69" t="str"/>
      <x:c r="G107" s="69" t="str">
        <x:v>9-10</x:v>
      </x:c>
      <x:c r="H107" s="84" t="n">
        <x:v>399000</x:v>
      </x:c>
      <x:c r="I107" s="90" t="n">
        <x:v>1</x:v>
      </x:c>
      <x:c r="J107" s="69" t="str">
        <x:f>IF(I107&lt;=0,"Habis",IF(I107&lt;=2,"Stok Terbatas","Tersedia"))</x:f>
        <x:v>Stok Terbatas</x:v>
      </x:c>
      <x:c r="K107" s="69" t="str">
        <x:v>Shirt</x:v>
      </x:c>
      <x:c r="L107" s="69" t="str">
        <x:v>Aktif</x:v>
      </x:c>
      <x:c r="M107" s="70" t="str"/>
    </x:row>
    <x:row r="108">
      <x:c r="A108" s="96" t="str">
        <x:v>3M130078XX0</x:v>
      </x:c>
      <x:c r="B108" s="102" t="n">
        <x:v>3</x:v>
      </x:c>
      <x:c r="C108" s="108" t="str">
        <x:v>HEART TROOPS</x:v>
      </x:c>
      <x:c r="D108" s="69" t="str">
        <x:v>PRD0022</x:v>
      </x:c>
      <x:c r="E108" s="69" t="str">
        <x:v>Nyssa Pants - Pink</x:v>
      </x:c>
      <x:c r="F108" s="69" t="str">
        <x:v>Pink</x:v>
      </x:c>
      <x:c r="G108" s="69" t="str"/>
      <x:c r="H108" s="84" t="n">
        <x:v>325000</x:v>
      </x:c>
      <x:c r="I108" s="90" t="n">
        <x:v>1</x:v>
      </x:c>
      <x:c r="J108" s="69" t="str">
        <x:f>IF(I108&lt;=0,"Habis",IF(I108&lt;=2,"Stok Terbatas","Tersedia"))</x:f>
        <x:v>Stok Terbatas</x:v>
      </x:c>
      <x:c r="K108" s="69" t="str">
        <x:v>Pants</x:v>
      </x:c>
      <x:c r="L108" s="69" t="str">
        <x:v>Aktif</x:v>
      </x:c>
      <x:c r="M108" s="70" t="str"/>
    </x:row>
    <x:row r="109">
      <x:c r="A109" s="96" t="str">
        <x:v>3M130079XX0</x:v>
      </x:c>
      <x:c r="B109" s="102" t="n">
        <x:v>3</x:v>
      </x:c>
      <x:c r="C109" s="108" t="str">
        <x:v>HEART TROOPS</x:v>
      </x:c>
      <x:c r="D109" s="69" t="str">
        <x:v>PRD0022</x:v>
      </x:c>
      <x:c r="E109" s="69" t="str">
        <x:v>Nyssa Pants - Silver Grey</x:v>
      </x:c>
      <x:c r="F109" s="69" t="str">
        <x:v>Silver Grey</x:v>
      </x:c>
      <x:c r="G109" s="69" t="str"/>
      <x:c r="H109" s="84" t="n">
        <x:v>325000</x:v>
      </x:c>
      <x:c r="I109" s="90" t="n">
        <x:v>1</x:v>
      </x:c>
      <x:c r="J109" s="69" t="str">
        <x:f>IF(I109&lt;=0,"Habis",IF(I109&lt;=2,"Stok Terbatas","Tersedia"))</x:f>
        <x:v>Stok Terbatas</x:v>
      </x:c>
      <x:c r="K109" s="69" t="str">
        <x:v>Pants</x:v>
      </x:c>
      <x:c r="L109" s="69" t="str">
        <x:v>Aktif</x:v>
      </x:c>
      <x:c r="M109" s="70" t="str"/>
    </x:row>
    <x:row r="110">
      <x:c r="A110" s="96" t="str">
        <x:v>3M110533XX1</x:v>
      </x:c>
      <x:c r="B110" s="102" t="n">
        <x:v>3</x:v>
      </x:c>
      <x:c r="C110" s="108" t="str">
        <x:v>HEART TROOPS</x:v>
      </x:c>
      <x:c r="D110" s="69" t="str">
        <x:v>PRD0024</x:v>
      </x:c>
      <x:c r="E110" s="69" t="str">
        <x:v>Pandora Set Kids (3-4)</x:v>
      </x:c>
      <x:c r="F110" s="69" t="str"/>
      <x:c r="G110" s="69" t="str">
        <x:v>3-4</x:v>
      </x:c>
      <x:c r="H110" s="84" t="n">
        <x:v>849000</x:v>
      </x:c>
      <x:c r="I110" s="90" t="n">
        <x:v>2</x:v>
      </x:c>
      <x:c r="J110" s="69" t="str">
        <x:f>IF(I110&lt;=0,"Habis",IF(I110&lt;=2,"Stok Terbatas","Tersedia"))</x:f>
        <x:v>Stok Terbatas</x:v>
      </x:c>
      <x:c r="K110" s="69" t="str">
        <x:v>Set</x:v>
      </x:c>
      <x:c r="L110" s="69" t="str">
        <x:v>Aktif</x:v>
      </x:c>
      <x:c r="M110" s="70" t="str"/>
    </x:row>
    <x:row r="111">
      <x:c r="A111" s="96" t="str">
        <x:v>3M20523XX4</x:v>
      </x:c>
      <x:c r="B111" s="102" t="n">
        <x:v>3</x:v>
      </x:c>
      <x:c r="C111" s="108" t="str">
        <x:v>HEART TROOPS</x:v>
      </x:c>
      <x:c r="D111" s="69" t="str">
        <x:v>PRD0019</x:v>
      </x:c>
      <x:c r="E111" s="69" t="str">
        <x:v>Prish Dress Wanita (L-XL)</x:v>
      </x:c>
      <x:c r="F111" s="69" t="str"/>
      <x:c r="G111" s="69" t="str">
        <x:v>L-XL</x:v>
      </x:c>
      <x:c r="H111" s="84" t="n">
        <x:v>975000</x:v>
      </x:c>
      <x:c r="I111" s="90" t="n">
        <x:v>1</x:v>
      </x:c>
      <x:c r="J111" s="69" t="str">
        <x:f>IF(I111&lt;=0,"Habis",IF(I111&lt;=2,"Stok Terbatas","Tersedia"))</x:f>
        <x:v>Stok Terbatas</x:v>
      </x:c>
      <x:c r="K111" s="69" t="str">
        <x:v>Dress</x:v>
      </x:c>
      <x:c r="L111" s="69" t="str">
        <x:v>Aktif</x:v>
      </x:c>
      <x:c r="M111" s="70" t="str"/>
    </x:row>
    <x:row r="112">
      <x:c r="A112" s="96" t="str">
        <x:v>3M30608XY1</x:v>
      </x:c>
      <x:c r="B112" s="102" t="n">
        <x:v>3</x:v>
      </x:c>
      <x:c r="C112" s="108" t="str">
        <x:v>HEART TROOPS</x:v>
      </x:c>
      <x:c r="D112" s="69" t="str">
        <x:v>PRD0041</x:v>
      </x:c>
      <x:c r="E112" s="69" t="str">
        <x:v>Reyan Koko Dewasa (S)</x:v>
      </x:c>
      <x:c r="F112" s="69" t="str"/>
      <x:c r="G112" s="69" t="str">
        <x:v>S</x:v>
      </x:c>
      <x:c r="H112" s="84" t="n">
        <x:v>489000</x:v>
      </x:c>
      <x:c r="I112" s="90" t="n">
        <x:v>2</x:v>
      </x:c>
      <x:c r="J112" s="69" t="str">
        <x:f>IF(I112&lt;=0,"Habis",IF(I112&lt;=2,"Stok Terbatas","Tersedia"))</x:f>
        <x:v>Stok Terbatas</x:v>
      </x:c>
      <x:c r="K112" s="69" t="str">
        <x:v>Shirt</x:v>
      </x:c>
      <x:c r="L112" s="69" t="str">
        <x:v>Aktif</x:v>
      </x:c>
      <x:c r="M112" s="70" t="str"/>
    </x:row>
    <x:row r="113">
      <x:c r="A113" s="96" t="str">
        <x:v>3M30628XY4</x:v>
      </x:c>
      <x:c r="B113" s="102" t="n">
        <x:v>3</x:v>
      </x:c>
      <x:c r="C113" s="108" t="str">
        <x:v>HEART TROOPS</x:v>
      </x:c>
      <x:c r="D113" s="69" t="str">
        <x:v>PRD0041</x:v>
      </x:c>
      <x:c r="E113" s="69" t="str">
        <x:v>Reyan Koko Dewasa (XL)</x:v>
      </x:c>
      <x:c r="F113" s="69" t="str"/>
      <x:c r="G113" s="69" t="str">
        <x:v>XL</x:v>
      </x:c>
      <x:c r="H113" s="84" t="n">
        <x:v>489000</x:v>
      </x:c>
      <x:c r="I113" s="90" t="n">
        <x:v>2</x:v>
      </x:c>
      <x:c r="J113" s="69" t="str">
        <x:f>IF(I113&lt;=0,"Habis",IF(I113&lt;=2,"Stok Terbatas","Tersedia"))</x:f>
        <x:v>Stok Terbatas</x:v>
      </x:c>
      <x:c r="K113" s="69" t="str">
        <x:v>Shirt</x:v>
      </x:c>
      <x:c r="L113" s="69" t="str">
        <x:v>Aktif</x:v>
      </x:c>
      <x:c r="M113" s="70" t="str"/>
    </x:row>
    <x:row r="114">
      <x:c r="A114" s="96" t="str">
        <x:v>3M30606XY1</x:v>
      </x:c>
      <x:c r="B114" s="102" t="n">
        <x:v>3</x:v>
      </x:c>
      <x:c r="C114" s="108" t="str">
        <x:v>HEART TROOPS</x:v>
      </x:c>
      <x:c r="D114" s="69" t="str">
        <x:v>PRD0042</x:v>
      </x:c>
      <x:c r="E114" s="69" t="str">
        <x:v>Reyan Koko Kids (3-4)</x:v>
      </x:c>
      <x:c r="F114" s="69" t="str"/>
      <x:c r="G114" s="69" t="str">
        <x:v>3-4</x:v>
      </x:c>
      <x:c r="H114" s="84" t="n">
        <x:v>399000</x:v>
      </x:c>
      <x:c r="I114" s="90" t="n">
        <x:v>4</x:v>
      </x:c>
      <x:c r="J114" s="69" t="str">
        <x:f>IF(I114&lt;=0,"Habis",IF(I114&lt;=2,"Stok Terbatas","Tersedia"))</x:f>
        <x:v>Tersedia</x:v>
      </x:c>
      <x:c r="K114" s="69" t="str">
        <x:v>Shirt</x:v>
      </x:c>
      <x:c r="L114" s="69" t="str">
        <x:v>Aktif</x:v>
      </x:c>
      <x:c r="M114" s="70" t="str"/>
    </x:row>
    <x:row r="115">
      <x:c r="A115" s="96" t="str">
        <x:v>3M30625XY2</x:v>
      </x:c>
      <x:c r="B115" s="102" t="n">
        <x:v>3</x:v>
      </x:c>
      <x:c r="C115" s="108" t="str">
        <x:v>HEART TROOPS</x:v>
      </x:c>
      <x:c r="D115" s="69" t="str">
        <x:v>PRD0042</x:v>
      </x:c>
      <x:c r="E115" s="69" t="str">
        <x:v>Reyan Koko Kids (5-6)</x:v>
      </x:c>
      <x:c r="F115" s="69" t="str"/>
      <x:c r="G115" s="69" t="str">
        <x:v>5-6</x:v>
      </x:c>
      <x:c r="H115" s="84" t="n">
        <x:v>399000</x:v>
      </x:c>
      <x:c r="I115" s="90" t="n">
        <x:v>4</x:v>
      </x:c>
      <x:c r="J115" s="69" t="str">
        <x:f>IF(I115&lt;=0,"Habis",IF(I115&lt;=2,"Stok Terbatas","Tersedia"))</x:f>
        <x:v>Tersedia</x:v>
      </x:c>
      <x:c r="K115" s="69" t="str">
        <x:v>Shirt</x:v>
      </x:c>
      <x:c r="L115" s="69" t="str">
        <x:v>Aktif</x:v>
      </x:c>
      <x:c r="M115" s="70" t="str"/>
    </x:row>
    <x:row r="116">
      <x:c r="A116" s="96" t="str">
        <x:v>3M30607XY3</x:v>
      </x:c>
      <x:c r="B116" s="102" t="n">
        <x:v>3</x:v>
      </x:c>
      <x:c r="C116" s="108" t="str">
        <x:v>HEART TROOPS</x:v>
      </x:c>
      <x:c r="D116" s="69" t="str">
        <x:v>PRD0042</x:v>
      </x:c>
      <x:c r="E116" s="69" t="str">
        <x:v>Reyan Koko Kids (7-8)</x:v>
      </x:c>
      <x:c r="F116" s="69" t="str"/>
      <x:c r="G116" s="69" t="str">
        <x:v>7-8</x:v>
      </x:c>
      <x:c r="H116" s="84" t="n">
        <x:v>399000</x:v>
      </x:c>
      <x:c r="I116" s="90" t="n">
        <x:v>4</x:v>
      </x:c>
      <x:c r="J116" s="69" t="str">
        <x:f>IF(I116&lt;=0,"Habis",IF(I116&lt;=2,"Stok Terbatas","Tersedia"))</x:f>
        <x:v>Tersedia</x:v>
      </x:c>
      <x:c r="K116" s="69" t="str">
        <x:v>Shirt</x:v>
      </x:c>
      <x:c r="L116" s="69" t="str">
        <x:v>Aktif</x:v>
      </x:c>
      <x:c r="M116" s="70" t="str"/>
    </x:row>
    <x:row r="117">
      <x:c r="A117" s="96" t="str">
        <x:v>3M30626XY4</x:v>
      </x:c>
      <x:c r="B117" s="102" t="n">
        <x:v>3</x:v>
      </x:c>
      <x:c r="C117" s="108" t="str">
        <x:v>HEART TROOPS</x:v>
      </x:c>
      <x:c r="D117" s="69" t="str">
        <x:v>PRD0042</x:v>
      </x:c>
      <x:c r="E117" s="69" t="str">
        <x:v>Reyan Koko Kids (9-10)</x:v>
      </x:c>
      <x:c r="F117" s="69" t="str"/>
      <x:c r="G117" s="69" t="str">
        <x:v>9-10</x:v>
      </x:c>
      <x:c r="H117" s="84" t="n">
        <x:v>399000</x:v>
      </x:c>
      <x:c r="I117" s="90" t="n">
        <x:v>2</x:v>
      </x:c>
      <x:c r="J117" s="69" t="str">
        <x:f>IF(I117&lt;=0,"Habis",IF(I117&lt;=2,"Stok Terbatas","Tersedia"))</x:f>
        <x:v>Stok Terbatas</x:v>
      </x:c>
      <x:c r="K117" s="69" t="str">
        <x:v>Shirt</x:v>
      </x:c>
      <x:c r="L117" s="69" t="str">
        <x:v>Aktif</x:v>
      </x:c>
      <x:c r="M117" s="70" t="str"/>
    </x:row>
    <x:row r="118">
      <x:c r="A118" s="96" t="str">
        <x:v>3M110339XX0</x:v>
      </x:c>
      <x:c r="B118" s="102" t="n">
        <x:v>3</x:v>
      </x:c>
      <x:c r="C118" s="108" t="str">
        <x:v>HEART TROOPS</x:v>
      </x:c>
      <x:c r="D118" s="69" t="str">
        <x:v>PRD0025</x:v>
      </x:c>
      <x:c r="E118" s="69" t="str">
        <x:v>Sekar Set Kids - Sky (4)</x:v>
      </x:c>
      <x:c r="F118" s="69" t="str">
        <x:v>Sky</x:v>
      </x:c>
      <x:c r="G118" s="69" t="str">
        <x:v>4</x:v>
      </x:c>
      <x:c r="H118" s="84" t="n">
        <x:v>825000</x:v>
      </x:c>
      <x:c r="I118" s="90" t="n">
        <x:v>1</x:v>
      </x:c>
      <x:c r="J118" s="69" t="str">
        <x:f>IF(I118&lt;=0,"Habis",IF(I118&lt;=2,"Stok Terbatas","Tersedia"))</x:f>
        <x:v>Stok Terbatas</x:v>
      </x:c>
      <x:c r="K118" s="69" t="str">
        <x:v>Set</x:v>
      </x:c>
      <x:c r="L118" s="69" t="str">
        <x:v>Aktif</x:v>
      </x:c>
      <x:c r="M118" s="70" t="str"/>
    </x:row>
    <x:row r="119">
      <x:c r="A119" s="96" t="str">
        <x:v>3M111717XX2</x:v>
      </x:c>
      <x:c r="B119" s="102" t="n">
        <x:v>3</x:v>
      </x:c>
      <x:c r="C119" s="108" t="str">
        <x:v>HEART TROOPS</x:v>
      </x:c>
      <x:c r="D119" s="69" t="str">
        <x:v>PRD0026</x:v>
      </x:c>
      <x:c r="E119" s="69" t="str">
        <x:v>Sentani Set Kids (5-6y)</x:v>
      </x:c>
      <x:c r="F119" s="69" t="str"/>
      <x:c r="G119" s="69" t="str">
        <x:v>5-6y</x:v>
      </x:c>
      <x:c r="H119" s="84" t="n">
        <x:v>899000</x:v>
      </x:c>
      <x:c r="I119" s="90" t="n">
        <x:v>1</x:v>
      </x:c>
      <x:c r="J119" s="69" t="str">
        <x:f>IF(I119&lt;=0,"Habis",IF(I119&lt;=2,"Stok Terbatas","Tersedia"))</x:f>
        <x:v>Stok Terbatas</x:v>
      </x:c>
      <x:c r="K119" s="69" t="str">
        <x:v>Set</x:v>
      </x:c>
      <x:c r="L119" s="69" t="str">
        <x:v>Aktif</x:v>
      </x:c>
      <x:c r="M119" s="70" t="str"/>
    </x:row>
    <x:row r="120">
      <x:c r="A120" s="96" t="str">
        <x:v>3M31386XX0</x:v>
      </x:c>
      <x:c r="B120" s="102" t="n">
        <x:v>3</x:v>
      </x:c>
      <x:c r="C120" s="108" t="str">
        <x:v>HEART TROOPS</x:v>
      </x:c>
      <x:c r="D120" s="69" t="str">
        <x:v>PRD0043</x:v>
      </x:c>
      <x:c r="E120" s="69" t="str">
        <x:v>Zora Shirt - Blue</x:v>
      </x:c>
      <x:c r="F120" s="69" t="str">
        <x:v>Blue</x:v>
      </x:c>
      <x:c r="G120" s="69" t="str"/>
      <x:c r="H120" s="84" t="n">
        <x:v>495000</x:v>
      </x:c>
      <x:c r="I120" s="90" t="n">
        <x:v>1</x:v>
      </x:c>
      <x:c r="J120" s="69" t="str">
        <x:f>IF(I120&lt;=0,"Habis",IF(I120&lt;=2,"Stok Terbatas","Tersedia"))</x:f>
        <x:v>Stok Terbatas</x:v>
      </x:c>
      <x:c r="K120" s="69" t="str">
        <x:v>Shirt</x:v>
      </x:c>
      <x:c r="L120" s="69" t="str">
        <x:v>Aktif</x:v>
      </x:c>
      <x:c r="M120" s="70" t="str"/>
    </x:row>
    <x:row r="121">
      <x:c r="A121" s="96" t="str">
        <x:v>3M101388XX4</x:v>
      </x:c>
      <x:c r="B121" s="102" t="n">
        <x:v>3</x:v>
      </x:c>
      <x:c r="C121" s="108" t="str">
        <x:v>HEART TROOPS</x:v>
      </x:c>
      <x:c r="D121" s="69" t="str">
        <x:v>PRD0015</x:v>
      </x:c>
      <x:c r="E121" s="69" t="str">
        <x:v>Zorina Blouse - Blue (L-XL)</x:v>
      </x:c>
      <x:c r="F121" s="69" t="str">
        <x:v>Blue</x:v>
      </x:c>
      <x:c r="G121" s="69" t="str">
        <x:v>L-XL</x:v>
      </x:c>
      <x:c r="H121" s="84" t="n">
        <x:v>595000</x:v>
      </x:c>
      <x:c r="I121" s="90" t="n">
        <x:v>1</x:v>
      </x:c>
      <x:c r="J121" s="69" t="str">
        <x:f>IF(I121&lt;=0,"Habis",IF(I121&lt;=2,"Stok Terbatas","Tersedia"))</x:f>
        <x:v>Stok Terbatas</x:v>
      </x:c>
      <x:c r="K121" s="69" t="str">
        <x:v>Blouse</x:v>
      </x:c>
      <x:c r="L121" s="69" t="str">
        <x:v>Aktif</x:v>
      </x:c>
      <x:c r="M121" s="70" t="str"/>
    </x:row>
    <x:row r="122">
      <x:c r="A122" s="96" t="str">
        <x:v>3M101385XX4</x:v>
      </x:c>
      <x:c r="B122" s="102" t="n">
        <x:v>3</x:v>
      </x:c>
      <x:c r="C122" s="108" t="str">
        <x:v>HEART TROOPS</x:v>
      </x:c>
      <x:c r="D122" s="69" t="str">
        <x:v>PRD0015</x:v>
      </x:c>
      <x:c r="E122" s="69" t="str">
        <x:v>Zorina Blouse - Ivory (L-XL)</x:v>
      </x:c>
      <x:c r="F122" s="69" t="str">
        <x:v>Ivory</x:v>
      </x:c>
      <x:c r="G122" s="69" t="str">
        <x:v>L-XL</x:v>
      </x:c>
      <x:c r="H122" s="84" t="n">
        <x:v>595000</x:v>
      </x:c>
      <x:c r="I122" s="90" t="n">
        <x:v>1</x:v>
      </x:c>
      <x:c r="J122" s="69" t="str">
        <x:f>IF(I122&lt;=0,"Habis",IF(I122&lt;=2,"Stok Terbatas","Tersedia"))</x:f>
        <x:v>Stok Terbatas</x:v>
      </x:c>
      <x:c r="K122" s="69" t="str">
        <x:v>Blouse</x:v>
      </x:c>
      <x:c r="L122" s="69" t="str">
        <x:v>Aktif</x:v>
      </x:c>
      <x:c r="M122" s="70" t="str"/>
    </x:row>
    <x:row r="123">
      <x:c r="A123" s="96" t="str">
        <x:v>4M31896XY2</x:v>
      </x:c>
      <x:c r="B123" s="102" t="n">
        <x:v>4</x:v>
      </x:c>
      <x:c r="C123" s="108" t="str">
        <x:v>PURU KAMBERA</x:v>
      </x:c>
      <x:c r="D123" s="69" t="str">
        <x:v>PRD0057</x:v>
      </x:c>
      <x:c r="E123" s="69" t="str">
        <x:v>Alya Boy Shirt (5-6y)</x:v>
      </x:c>
      <x:c r="F123" s="69" t="str"/>
      <x:c r="G123" s="69" t="str">
        <x:v>5-6y</x:v>
      </x:c>
      <x:c r="H123" s="84" t="n">
        <x:v>169900</x:v>
      </x:c>
      <x:c r="I123" s="90" t="n">
        <x:v>1</x:v>
      </x:c>
      <x:c r="J123" s="69" t="str">
        <x:f>IF(I123&lt;=0,"Habis",IF(I123&lt;=2,"Stok Terbatas","Tersedia"))</x:f>
        <x:v>Stok Terbatas</x:v>
      </x:c>
      <x:c r="K123" s="69" t="str">
        <x:v>Shirt</x:v>
      </x:c>
      <x:c r="L123" s="69" t="str">
        <x:v>Aktif</x:v>
      </x:c>
      <x:c r="M123" s="70" t="str"/>
    </x:row>
    <x:row r="124">
      <x:c r="A124" s="96" t="str">
        <x:v>4M31773XY3</x:v>
      </x:c>
      <x:c r="B124" s="102" t="n">
        <x:v>4</x:v>
      </x:c>
      <x:c r="C124" s="108" t="str">
        <x:v>PURU KAMBERA</x:v>
      </x:c>
      <x:c r="D124" s="69" t="str">
        <x:v>PRD0057</x:v>
      </x:c>
      <x:c r="E124" s="69" t="str">
        <x:v>Alya Boy Shirt (7-8y)</x:v>
      </x:c>
      <x:c r="F124" s="69" t="str"/>
      <x:c r="G124" s="69" t="str">
        <x:v>7-8y</x:v>
      </x:c>
      <x:c r="H124" s="84" t="n">
        <x:v>169900</x:v>
      </x:c>
      <x:c r="I124" s="90" t="n">
        <x:v>1</x:v>
      </x:c>
      <x:c r="J124" s="69" t="str">
        <x:f>IF(I124&lt;=0,"Habis",IF(I124&lt;=2,"Stok Terbatas","Tersedia"))</x:f>
        <x:v>Stok Terbatas</x:v>
      </x:c>
      <x:c r="K124" s="69" t="str">
        <x:v>Shirt</x:v>
      </x:c>
      <x:c r="L124" s="69" t="str">
        <x:v>Aktif</x:v>
      </x:c>
      <x:c r="M124" s="70" t="str"/>
    </x:row>
    <x:row r="125">
      <x:c r="A125" s="96" t="str">
        <x:v>4M21897XX1</x:v>
      </x:c>
      <x:c r="B125" s="102" t="n">
        <x:v>4</x:v>
      </x:c>
      <x:c r="C125" s="108" t="str">
        <x:v>PURU KAMBERA</x:v>
      </x:c>
      <x:c r="D125" s="69" t="str">
        <x:v>PRD0047</x:v>
      </x:c>
      <x:c r="E125" s="69" t="str">
        <x:v>Alya Midi Girl (3-4y)</x:v>
      </x:c>
      <x:c r="F125" s="69" t="str"/>
      <x:c r="G125" s="69" t="str">
        <x:v>3-4y</x:v>
      </x:c>
      <x:c r="H125" s="84" t="n">
        <x:v>209900</x:v>
      </x:c>
      <x:c r="I125" s="90" t="n">
        <x:v>1</x:v>
      </x:c>
      <x:c r="J125" s="69" t="str">
        <x:f>IF(I125&lt;=0,"Habis",IF(I125&lt;=2,"Stok Terbatas","Tersedia"))</x:f>
        <x:v>Stok Terbatas</x:v>
      </x:c>
      <x:c r="K125" s="69" t="str">
        <x:v>Dress</x:v>
      </x:c>
      <x:c r="L125" s="69" t="str">
        <x:v>Aktif</x:v>
      </x:c>
      <x:c r="M125" s="70" t="str"/>
    </x:row>
    <x:row r="126">
      <x:c r="A126" s="96" t="str">
        <x:v>4M21898XX2</x:v>
      </x:c>
      <x:c r="B126" s="102" t="n">
        <x:v>4</x:v>
      </x:c>
      <x:c r="C126" s="108" t="str">
        <x:v>PURU KAMBERA</x:v>
      </x:c>
      <x:c r="D126" s="69" t="str">
        <x:v>PRD0047</x:v>
      </x:c>
      <x:c r="E126" s="69" t="str">
        <x:v>Alya Midi Girl (5-6y)</x:v>
      </x:c>
      <x:c r="F126" s="69" t="str"/>
      <x:c r="G126" s="69" t="str">
        <x:v>5-6y</x:v>
      </x:c>
      <x:c r="H126" s="84" t="n">
        <x:v>209900</x:v>
      </x:c>
      <x:c r="I126" s="90" t="n">
        <x:v>2</x:v>
      </x:c>
      <x:c r="J126" s="69" t="str">
        <x:f>IF(I126&lt;=0,"Habis",IF(I126&lt;=2,"Stok Terbatas","Tersedia"))</x:f>
        <x:v>Stok Terbatas</x:v>
      </x:c>
      <x:c r="K126" s="69" t="str">
        <x:v>Dress</x:v>
      </x:c>
      <x:c r="L126" s="69" t="str">
        <x:v>Aktif</x:v>
      </x:c>
      <x:c r="M126" s="70" t="str"/>
    </x:row>
    <x:row r="127">
      <x:c r="A127" s="96" t="str">
        <x:v>4M140492XX4</x:v>
      </x:c>
      <x:c r="B127" s="102" t="n">
        <x:v>4</x:v>
      </x:c>
      <x:c r="C127" s="108" t="str">
        <x:v>PURU KAMBERA</x:v>
      </x:c>
      <x:c r="D127" s="69" t="str">
        <x:v>PRD0056</x:v>
      </x:c>
      <x:c r="E127" s="69" t="str">
        <x:v>Arine Blazer - Gray Morn (L/XL)</x:v>
      </x:c>
      <x:c r="F127" s="69" t="str">
        <x:v>Gray Morn</x:v>
      </x:c>
      <x:c r="G127" s="69" t="str">
        <x:v>L/XL</x:v>
      </x:c>
      <x:c r="H127" s="84" t="n">
        <x:v>399900</x:v>
      </x:c>
      <x:c r="I127" s="90" t="n">
        <x:v>1</x:v>
      </x:c>
      <x:c r="J127" s="69" t="str">
        <x:f>IF(I127&lt;=0,"Habis",IF(I127&lt;=2,"Stok Terbatas","Tersedia"))</x:f>
        <x:v>Stok Terbatas</x:v>
      </x:c>
      <x:c r="K127" s="69" t="str">
        <x:v>Outer</x:v>
      </x:c>
      <x:c r="L127" s="69" t="str">
        <x:v>Aktif</x:v>
      </x:c>
      <x:c r="M127" s="70" t="str"/>
    </x:row>
    <x:row r="128">
      <x:c r="A128" s="96" t="str">
        <x:v>4M11820XX0</x:v>
      </x:c>
      <x:c r="B128" s="102" t="n">
        <x:v>4</x:v>
      </x:c>
      <x:c r="C128" s="108" t="str">
        <x:v>PURU KAMBERA</x:v>
      </x:c>
      <x:c r="D128" s="69" t="str">
        <x:v>PRD0051</x:v>
      </x:c>
      <x:c r="E128" s="69" t="str">
        <x:v>Azura Scarf</x:v>
      </x:c>
      <x:c r="F128" s="69" t="str"/>
      <x:c r="G128" s="69" t="str"/>
      <x:c r="H128" s="84" t="n">
        <x:v>235000</x:v>
      </x:c>
      <x:c r="I128" s="90" t="n">
        <x:v>1</x:v>
      </x:c>
      <x:c r="J128" s="69" t="str">
        <x:f>IF(I128&lt;=0,"Habis",IF(I128&lt;=2,"Stok Terbatas","Tersedia"))</x:f>
        <x:v>Stok Terbatas</x:v>
      </x:c>
      <x:c r="K128" s="69" t="str">
        <x:v>Hijab</x:v>
      </x:c>
      <x:c r="L128" s="69" t="str">
        <x:v>Aktif</x:v>
      </x:c>
      <x:c r="M128" s="70" t="str"/>
    </x:row>
    <x:row r="129">
      <x:c r="A129" s="96" t="str">
        <x:v>4M40107XX0</x:v>
      </x:c>
      <x:c r="B129" s="102" t="n">
        <x:v>4</x:v>
      </x:c>
      <x:c r="C129" s="108" t="str">
        <x:v>PURU KAMBERA</x:v>
      </x:c>
      <x:c r="D129" s="69" t="str">
        <x:v>PRD0065</x:v>
      </x:c>
      <x:c r="E129" s="69" t="str">
        <x:v>Cheerful Cardigan</x:v>
      </x:c>
      <x:c r="F129" s="69" t="str"/>
      <x:c r="G129" s="69" t="str"/>
      <x:c r="H129" s="84" t="n">
        <x:v>489600</x:v>
      </x:c>
      <x:c r="I129" s="90" t="n">
        <x:v>1</x:v>
      </x:c>
      <x:c r="J129" s="69" t="str">
        <x:f>IF(I129&lt;=0,"Habis",IF(I129&lt;=2,"Stok Terbatas","Tersedia"))</x:f>
        <x:v>Stok Terbatas</x:v>
      </x:c>
      <x:c r="K129" s="69" t="str">
        <x:v>Sweater</x:v>
      </x:c>
      <x:c r="L129" s="69" t="str">
        <x:v>Aktif</x:v>
      </x:c>
      <x:c r="M129" s="70" t="str"/>
    </x:row>
    <x:row r="130">
      <x:c r="A130" s="96" t="str">
        <x:v>4M40108X2</x:v>
      </x:c>
      <x:c r="B130" s="102" t="n">
        <x:v>4</x:v>
      </x:c>
      <x:c r="C130" s="108" t="str">
        <x:v>PURU KAMBERA</x:v>
      </x:c>
      <x:c r="D130" s="69" t="str">
        <x:v>PRD0066</x:v>
      </x:c>
      <x:c r="E130" s="69" t="str">
        <x:v>Cheerful Cardigan Kids / S-M (4-6Y)</x:v>
      </x:c>
      <x:c r="F130" s="69" t="str"/>
      <x:c r="G130" s="69" t="str">
        <x:v>4-6Y</x:v>
      </x:c>
      <x:c r="H130" s="84" t="n">
        <x:v>350400</x:v>
      </x:c>
      <x:c r="I130" s="90" t="n">
        <x:v>1</x:v>
      </x:c>
      <x:c r="J130" s="69" t="str">
        <x:f>IF(I130&lt;=0,"Habis",IF(I130&lt;=2,"Stok Terbatas","Tersedia"))</x:f>
        <x:v>Stok Terbatas</x:v>
      </x:c>
      <x:c r="K130" s="69" t="str">
        <x:v>Sweater</x:v>
      </x:c>
      <x:c r="L130" s="69" t="str">
        <x:v>Aktif</x:v>
      </x:c>
      <x:c r="M130" s="70" t="str"/>
    </x:row>
    <x:row r="131">
      <x:c r="A131" s="96" t="str">
        <x:v>4M40114X2</x:v>
      </x:c>
      <x:c r="B131" s="102" t="n">
        <x:v>4</x:v>
      </x:c>
      <x:c r="C131" s="108" t="str">
        <x:v>PURU KAMBERA</x:v>
      </x:c>
      <x:c r="D131" s="69" t="str">
        <x:v>PRD0067</x:v>
      </x:c>
      <x:c r="E131" s="69" t="str">
        <x:v>Classy Cardigan Kids / S-M (4-6Y)</x:v>
      </x:c>
      <x:c r="F131" s="69" t="str"/>
      <x:c r="G131" s="69" t="str">
        <x:v>4-6Y</x:v>
      </x:c>
      <x:c r="H131" s="84" t="n">
        <x:v>350400</x:v>
      </x:c>
      <x:c r="I131" s="90" t="n">
        <x:v>2</x:v>
      </x:c>
      <x:c r="J131" s="69" t="str">
        <x:f>IF(I131&lt;=0,"Habis",IF(I131&lt;=2,"Stok Terbatas","Tersedia"))</x:f>
        <x:v>Stok Terbatas</x:v>
      </x:c>
      <x:c r="K131" s="69" t="str">
        <x:v>Sweater</x:v>
      </x:c>
      <x:c r="L131" s="69" t="str">
        <x:v>Aktif</x:v>
      </x:c>
      <x:c r="M131" s="70" t="str"/>
    </x:row>
    <x:row r="132">
      <x:c r="A132" s="96" t="str">
        <x:v>4M40115X4</x:v>
      </x:c>
      <x:c r="B132" s="102" t="n">
        <x:v>4</x:v>
      </x:c>
      <x:c r="C132" s="108" t="str">
        <x:v>PURU KAMBERA</x:v>
      </x:c>
      <x:c r="D132" s="69" t="str">
        <x:v>PRD0068</x:v>
      </x:c>
      <x:c r="E132" s="69" t="str">
        <x:v>Classy Cardigan Kids S/ L-XL (8-10Y)</x:v>
      </x:c>
      <x:c r="F132" s="69" t="str"/>
      <x:c r="G132" s="69" t="str">
        <x:v>8-10Y</x:v>
      </x:c>
      <x:c r="H132" s="84" t="n">
        <x:v>350400</x:v>
      </x:c>
      <x:c r="I132" s="90" t="n">
        <x:v>1</x:v>
      </x:c>
      <x:c r="J132" s="69" t="str">
        <x:f>IF(I132&lt;=0,"Habis",IF(I132&lt;=2,"Stok Terbatas","Tersedia"))</x:f>
        <x:v>Stok Terbatas</x:v>
      </x:c>
      <x:c r="K132" s="69" t="str">
        <x:v>Sweater</x:v>
      </x:c>
      <x:c r="L132" s="69" t="str">
        <x:v>Aktif</x:v>
      </x:c>
      <x:c r="M132" s="70" t="str"/>
    </x:row>
    <x:row r="133">
      <x:c r="A133" s="96" t="str">
        <x:v>4M100120XX4</x:v>
      </x:c>
      <x:c r="B133" s="102" t="n">
        <x:v>4</x:v>
      </x:c>
      <x:c r="C133" s="108" t="str">
        <x:v>PURU KAMBERA</x:v>
      </x:c>
      <x:c r="D133" s="69" t="str">
        <x:v>PRD0044</x:v>
      </x:c>
      <x:c r="E133" s="69" t="str">
        <x:v>Classy Plain Blouse / L-XL</x:v>
      </x:c>
      <x:c r="F133" s="69" t="str"/>
      <x:c r="G133" s="69" t="str">
        <x:v>L-XL</x:v>
      </x:c>
      <x:c r="H133" s="84" t="n">
        <x:v>300000</x:v>
      </x:c>
      <x:c r="I133" s="90" t="n">
        <x:v>1</x:v>
      </x:c>
      <x:c r="J133" s="69" t="str">
        <x:f>IF(I133&lt;=0,"Habis",IF(I133&lt;=2,"Stok Terbatas","Tersedia"))</x:f>
        <x:v>Stok Terbatas</x:v>
      </x:c>
      <x:c r="K133" s="69" t="str">
        <x:v>Blouse</x:v>
      </x:c>
      <x:c r="L133" s="69" t="str">
        <x:v>Aktif</x:v>
      </x:c>
      <x:c r="M133" s="70" t="str"/>
    </x:row>
    <x:row r="134">
      <x:c r="A134" s="96" t="str">
        <x:v>4M30126Y0</x:v>
      </x:c>
      <x:c r="B134" s="102" t="n">
        <x:v>4</x:v>
      </x:c>
      <x:c r="C134" s="108" t="str">
        <x:v>PURU KAMBERA</x:v>
      </x:c>
      <x:c r="D134" s="69" t="str">
        <x:v>PRD0058</x:v>
      </x:c>
      <x:c r="E134" s="69" t="str">
        <x:v>Daria Boy Shirt (3-4Y)</x:v>
      </x:c>
      <x:c r="F134" s="69" t="str"/>
      <x:c r="G134" s="69" t="str">
        <x:v>3-4Y</x:v>
      </x:c>
      <x:c r="H134" s="84" t="n">
        <x:v>305500</x:v>
      </x:c>
      <x:c r="I134" s="90" t="n">
        <x:v>1</x:v>
      </x:c>
      <x:c r="J134" s="69" t="str">
        <x:f>IF(I134&lt;=0,"Habis",IF(I134&lt;=2,"Stok Terbatas","Tersedia"))</x:f>
        <x:v>Stok Terbatas</x:v>
      </x:c>
      <x:c r="K134" s="69" t="str">
        <x:v>Shirt</x:v>
      </x:c>
      <x:c r="L134" s="69" t="str">
        <x:v>Aktif</x:v>
      </x:c>
      <x:c r="M134" s="70" t="str"/>
    </x:row>
    <x:row r="135">
      <x:c r="A135" s="96" t="str">
        <x:v>4M30127Y0</x:v>
      </x:c>
      <x:c r="B135" s="102" t="n">
        <x:v>4</x:v>
      </x:c>
      <x:c r="C135" s="108" t="str">
        <x:v>PURU KAMBERA</x:v>
      </x:c>
      <x:c r="D135" s="69" t="str">
        <x:v>PRD0058</x:v>
      </x:c>
      <x:c r="E135" s="69" t="str">
        <x:v>Daria Boy Shirt (5-6Y)</x:v>
      </x:c>
      <x:c r="F135" s="69" t="str"/>
      <x:c r="G135" s="69" t="str">
        <x:v>5-6Y</x:v>
      </x:c>
      <x:c r="H135" s="84" t="n">
        <x:v>305500</x:v>
      </x:c>
      <x:c r="I135" s="90" t="n">
        <x:v>2</x:v>
      </x:c>
      <x:c r="J135" s="69" t="str">
        <x:f>IF(I135&lt;=0,"Habis",IF(I135&lt;=2,"Stok Terbatas","Tersedia"))</x:f>
        <x:v>Stok Terbatas</x:v>
      </x:c>
      <x:c r="K135" s="69" t="str">
        <x:v>Shirt</x:v>
      </x:c>
      <x:c r="L135" s="69" t="str">
        <x:v>Aktif</x:v>
      </x:c>
      <x:c r="M135" s="70" t="str"/>
    </x:row>
    <x:row r="136">
      <x:c r="A136" s="96" t="str">
        <x:v>4M30128Y0</x:v>
      </x:c>
      <x:c r="B136" s="102" t="n">
        <x:v>4</x:v>
      </x:c>
      <x:c r="C136" s="108" t="str">
        <x:v>PURU KAMBERA</x:v>
      </x:c>
      <x:c r="D136" s="69" t="str">
        <x:v>PRD0058</x:v>
      </x:c>
      <x:c r="E136" s="69" t="str">
        <x:v>Daria Boy Shirt (7-8Y)</x:v>
      </x:c>
      <x:c r="F136" s="69" t="str"/>
      <x:c r="G136" s="69" t="str">
        <x:v>7-8Y</x:v>
      </x:c>
      <x:c r="H136" s="84" t="n">
        <x:v>305500</x:v>
      </x:c>
      <x:c r="I136" s="90" t="n">
        <x:v>2</x:v>
      </x:c>
      <x:c r="J136" s="69" t="str">
        <x:f>IF(I136&lt;=0,"Habis",IF(I136&lt;=2,"Stok Terbatas","Tersedia"))</x:f>
        <x:v>Stok Terbatas</x:v>
      </x:c>
      <x:c r="K136" s="69" t="str">
        <x:v>Shirt</x:v>
      </x:c>
      <x:c r="L136" s="69" t="str">
        <x:v>Aktif</x:v>
      </x:c>
      <x:c r="M136" s="70" t="str"/>
    </x:row>
    <x:row r="137">
      <x:c r="A137" s="96" t="str">
        <x:v>4M120130X0</x:v>
      </x:c>
      <x:c r="B137" s="102" t="n">
        <x:v>4</x:v>
      </x:c>
      <x:c r="C137" s="108" t="str">
        <x:v>PURU KAMBERA</x:v>
      </x:c>
      <x:c r="D137" s="69" t="str">
        <x:v>PRD0075</x:v>
      </x:c>
      <x:c r="E137" s="69" t="str">
        <x:v>Daria Girls Tunic (5-6 Y)</x:v>
      </x:c>
      <x:c r="F137" s="69" t="str"/>
      <x:c r="G137" s="69" t="str">
        <x:v>5-6 Y</x:v>
      </x:c>
      <x:c r="H137" s="84" t="n">
        <x:v>343000</x:v>
      </x:c>
      <x:c r="I137" s="90" t="n">
        <x:v>1</x:v>
      </x:c>
      <x:c r="J137" s="69" t="str">
        <x:f>IF(I137&lt;=0,"Habis",IF(I137&lt;=2,"Stok Terbatas","Tersedia"))</x:f>
        <x:v>Stok Terbatas</x:v>
      </x:c>
      <x:c r="K137" s="69" t="str">
        <x:v>Tunic</x:v>
      </x:c>
      <x:c r="L137" s="69" t="str">
        <x:v>Aktif</x:v>
      </x:c>
      <x:c r="M137" s="70" t="str"/>
    </x:row>
    <x:row r="138">
      <x:c r="A138" s="96" t="str">
        <x:v>4M40112X4</x:v>
      </x:c>
      <x:c r="B138" s="102" t="n">
        <x:v>4</x:v>
      </x:c>
      <x:c r="C138" s="108" t="str">
        <x:v>PURU KAMBERA</x:v>
      </x:c>
      <x:c r="D138" s="69" t="str">
        <x:v>PRD0069</x:v>
      </x:c>
      <x:c r="E138" s="69" t="str">
        <x:v>Dear Cardigan Kids / L-XL (8-10Y)</x:v>
      </x:c>
      <x:c r="F138" s="69" t="str"/>
      <x:c r="G138" s="69" t="str">
        <x:v>8-10Y</x:v>
      </x:c>
      <x:c r="H138" s="84" t="n">
        <x:v>350400</x:v>
      </x:c>
      <x:c r="I138" s="90" t="n">
        <x:v>2</x:v>
      </x:c>
      <x:c r="J138" s="69" t="str">
        <x:f>IF(I138&lt;=0,"Habis",IF(I138&lt;=2,"Stok Terbatas","Tersedia"))</x:f>
        <x:v>Stok Terbatas</x:v>
      </x:c>
      <x:c r="K138" s="69" t="str">
        <x:v>Sweater</x:v>
      </x:c>
      <x:c r="L138" s="69" t="str">
        <x:v>Aktif</x:v>
      </x:c>
      <x:c r="M138" s="70" t="str"/>
    </x:row>
    <x:row r="139">
      <x:c r="A139" s="96" t="str">
        <x:v>4M40111X2</x:v>
      </x:c>
      <x:c r="B139" s="102" t="n">
        <x:v>4</x:v>
      </x:c>
      <x:c r="C139" s="108" t="str">
        <x:v>PURU KAMBERA</x:v>
      </x:c>
      <x:c r="D139" s="69" t="str">
        <x:v>PRD0070</x:v>
      </x:c>
      <x:c r="E139" s="69" t="str">
        <x:v>Dear Cardigan Kids / S-M (4-6Y)</x:v>
      </x:c>
      <x:c r="F139" s="69" t="str"/>
      <x:c r="G139" s="69" t="str">
        <x:v>4-6Y</x:v>
      </x:c>
      <x:c r="H139" s="84" t="n">
        <x:v>350400</x:v>
      </x:c>
      <x:c r="I139" s="90" t="n">
        <x:v>1</x:v>
      </x:c>
      <x:c r="J139" s="69" t="str">
        <x:f>IF(I139&lt;=0,"Habis",IF(I139&lt;=2,"Stok Terbatas","Tersedia"))</x:f>
        <x:v>Stok Terbatas</x:v>
      </x:c>
      <x:c r="K139" s="69" t="str">
        <x:v>Sweater</x:v>
      </x:c>
      <x:c r="L139" s="69" t="str">
        <x:v>Aktif</x:v>
      </x:c>
      <x:c r="M139" s="70" t="str"/>
    </x:row>
    <x:row r="140">
      <x:c r="A140" s="96" t="str">
        <x:v>4M122223XX0</x:v>
      </x:c>
      <x:c r="B140" s="102" t="n">
        <x:v>4</x:v>
      </x:c>
      <x:c r="C140" s="108" t="str">
        <x:v>PURU KAMBERA</x:v>
      </x:c>
      <x:c r="D140" s="69" t="str">
        <x:v>PRD0076</x:v>
      </x:c>
      <x:c r="E140" s="69" t="str">
        <x:v>Elara Tunic</x:v>
      </x:c>
      <x:c r="F140" s="69" t="str"/>
      <x:c r="G140" s="69" t="str"/>
      <x:c r="H140" s="84" t="n">
        <x:v>437800</x:v>
      </x:c>
      <x:c r="I140" s="90" t="n">
        <x:v>2</x:v>
      </x:c>
      <x:c r="J140" s="69" t="str">
        <x:f>IF(I140&lt;=0,"Habis",IF(I140&lt;=2,"Stok Terbatas","Tersedia"))</x:f>
        <x:v>Stok Terbatas</x:v>
      </x:c>
      <x:c r="K140" s="69" t="str">
        <x:v>Tunic</x:v>
      </x:c>
      <x:c r="L140" s="69" t="str">
        <x:v>Aktif</x:v>
      </x:c>
      <x:c r="M140" s="70" t="str"/>
    </x:row>
    <x:row r="141">
      <x:c r="A141" s="96" t="str">
        <x:v>4M100124XX4</x:v>
      </x:c>
      <x:c r="B141" s="102" t="n">
        <x:v>4</x:v>
      </x:c>
      <x:c r="C141" s="108" t="str">
        <x:v>PURU KAMBERA</x:v>
      </x:c>
      <x:c r="D141" s="69" t="str">
        <x:v>PRD0045</x:v>
      </x:c>
      <x:c r="E141" s="69" t="str">
        <x:v>Future Plain Blouse / L-XL</x:v>
      </x:c>
      <x:c r="F141" s="69" t="str"/>
      <x:c r="G141" s="69" t="str">
        <x:v>L-XL</x:v>
      </x:c>
      <x:c r="H141" s="84" t="n">
        <x:v>300000</x:v>
      </x:c>
      <x:c r="I141" s="90" t="n">
        <x:v>2</x:v>
      </x:c>
      <x:c r="J141" s="69" t="str">
        <x:f>IF(I141&lt;=0,"Habis",IF(I141&lt;=2,"Stok Terbatas","Tersedia"))</x:f>
        <x:v>Stok Terbatas</x:v>
      </x:c>
      <x:c r="K141" s="69" t="str">
        <x:v>Blouse</x:v>
      </x:c>
      <x:c r="L141" s="69" t="str">
        <x:v>Aktif</x:v>
      </x:c>
      <x:c r="M141" s="70" t="str"/>
    </x:row>
    <x:row r="142">
      <x:c r="A142" s="96" t="str">
        <x:v>4M100123XX2</x:v>
      </x:c>
      <x:c r="B142" s="102" t="n">
        <x:v>4</x:v>
      </x:c>
      <x:c r="C142" s="108" t="str">
        <x:v>PURU KAMBERA</x:v>
      </x:c>
      <x:c r="D142" s="69" t="str">
        <x:v>PRD0045</x:v>
      </x:c>
      <x:c r="E142" s="69" t="str">
        <x:v>Future Plain Blouse / S-M</x:v>
      </x:c>
      <x:c r="F142" s="69" t="str"/>
      <x:c r="G142" s="69" t="str">
        <x:v>S-M</x:v>
      </x:c>
      <x:c r="H142" s="84" t="n">
        <x:v>300000</x:v>
      </x:c>
      <x:c r="I142" s="90" t="n">
        <x:v>1</x:v>
      </x:c>
      <x:c r="J142" s="69" t="str">
        <x:f>IF(I142&lt;=0,"Habis",IF(I142&lt;=2,"Stok Terbatas","Tersedia"))</x:f>
        <x:v>Stok Terbatas</x:v>
      </x:c>
      <x:c r="K142" s="69" t="str">
        <x:v>Blouse</x:v>
      </x:c>
      <x:c r="L142" s="69" t="str">
        <x:v>Aktif</x:v>
      </x:c>
      <x:c r="M142" s="70" t="str"/>
    </x:row>
    <x:row r="143">
      <x:c r="A143" s="96" t="str">
        <x:v>4M30508XY2</x:v>
      </x:c>
      <x:c r="B143" s="102" t="n">
        <x:v>4</x:v>
      </x:c>
      <x:c r="C143" s="108" t="str">
        <x:v>PURU KAMBERA</x:v>
      </x:c>
      <x:c r="D143" s="69" t="str">
        <x:v>PRD0059</x:v>
      </x:c>
      <x:c r="E143" s="69" t="str">
        <x:v>Hasu Boy Shirt (5-6y)</x:v>
      </x:c>
      <x:c r="F143" s="69" t="str"/>
      <x:c r="G143" s="69" t="str">
        <x:v>5-6y</x:v>
      </x:c>
      <x:c r="H143" s="84" t="n">
        <x:v>305500</x:v>
      </x:c>
      <x:c r="I143" s="90" t="n">
        <x:v>1</x:v>
      </x:c>
      <x:c r="J143" s="69" t="str">
        <x:f>IF(I143&lt;=0,"Habis",IF(I143&lt;=2,"Stok Terbatas","Tersedia"))</x:f>
        <x:v>Stok Terbatas</x:v>
      </x:c>
      <x:c r="K143" s="69" t="str">
        <x:v>Shirt</x:v>
      </x:c>
      <x:c r="L143" s="69" t="str">
        <x:v>Aktif</x:v>
      </x:c>
      <x:c r="M143" s="70" t="str"/>
    </x:row>
    <x:row r="144">
      <x:c r="A144" s="96" t="str">
        <x:v>4M30131Y0</x:v>
      </x:c>
      <x:c r="B144" s="102" t="n">
        <x:v>4</x:v>
      </x:c>
      <x:c r="C144" s="108" t="str">
        <x:v>PURU KAMBERA</x:v>
      </x:c>
      <x:c r="D144" s="69" t="str">
        <x:v>PRD0060</x:v>
      </x:c>
      <x:c r="E144" s="69" t="str">
        <x:v>Himawari Boy Shirt (3-4Y)</x:v>
      </x:c>
      <x:c r="F144" s="69" t="str"/>
      <x:c r="G144" s="69" t="str">
        <x:v>3-4Y</x:v>
      </x:c>
      <x:c r="H144" s="84" t="n">
        <x:v>305500</x:v>
      </x:c>
      <x:c r="I144" s="90" t="n">
        <x:v>1</x:v>
      </x:c>
      <x:c r="J144" s="69" t="str">
        <x:f>IF(I144&lt;=0,"Habis",IF(I144&lt;=2,"Stok Terbatas","Tersedia"))</x:f>
        <x:v>Stok Terbatas</x:v>
      </x:c>
      <x:c r="K144" s="69" t="str">
        <x:v>Shirt</x:v>
      </x:c>
      <x:c r="L144" s="69" t="str">
        <x:v>Aktif</x:v>
      </x:c>
      <x:c r="M144" s="70" t="str"/>
    </x:row>
    <x:row r="145">
      <x:c r="A145" s="96" t="str">
        <x:v>4M30132Y0</x:v>
      </x:c>
      <x:c r="B145" s="102" t="n">
        <x:v>4</x:v>
      </x:c>
      <x:c r="C145" s="108" t="str">
        <x:v>PURU KAMBERA</x:v>
      </x:c>
      <x:c r="D145" s="69" t="str">
        <x:v>PRD0060</x:v>
      </x:c>
      <x:c r="E145" s="69" t="str">
        <x:v>Himawari Boy Shirt (5-6Y)</x:v>
      </x:c>
      <x:c r="F145" s="69" t="str"/>
      <x:c r="G145" s="69" t="str">
        <x:v>5-6Y</x:v>
      </x:c>
      <x:c r="H145" s="84" t="n">
        <x:v>305500</x:v>
      </x:c>
      <x:c r="I145" s="90" t="n">
        <x:v>2</x:v>
      </x:c>
      <x:c r="J145" s="69" t="str">
        <x:f>IF(I145&lt;=0,"Habis",IF(I145&lt;=2,"Stok Terbatas","Tersedia"))</x:f>
        <x:v>Stok Terbatas</x:v>
      </x:c>
      <x:c r="K145" s="69" t="str">
        <x:v>Shirt</x:v>
      </x:c>
      <x:c r="L145" s="69" t="str">
        <x:v>Aktif</x:v>
      </x:c>
      <x:c r="M145" s="70" t="str"/>
    </x:row>
    <x:row r="146">
      <x:c r="A146" s="96" t="str">
        <x:v>4M30133Y0</x:v>
      </x:c>
      <x:c r="B146" s="102" t="n">
        <x:v>4</x:v>
      </x:c>
      <x:c r="C146" s="108" t="str">
        <x:v>PURU KAMBERA</x:v>
      </x:c>
      <x:c r="D146" s="69" t="str">
        <x:v>PRD0060</x:v>
      </x:c>
      <x:c r="E146" s="69" t="str">
        <x:v>Himawari Boy Shirt (7-8Y)</x:v>
      </x:c>
      <x:c r="F146" s="69" t="str"/>
      <x:c r="G146" s="69" t="str">
        <x:v>7-8Y</x:v>
      </x:c>
      <x:c r="H146" s="84" t="n">
        <x:v>305500</x:v>
      </x:c>
      <x:c r="I146" s="90" t="n">
        <x:v>2</x:v>
      </x:c>
      <x:c r="J146" s="69" t="str">
        <x:f>IF(I146&lt;=0,"Habis",IF(I146&lt;=2,"Stok Terbatas","Tersedia"))</x:f>
        <x:v>Stok Terbatas</x:v>
      </x:c>
      <x:c r="K146" s="69" t="str">
        <x:v>Shirt</x:v>
      </x:c>
      <x:c r="L146" s="69" t="str">
        <x:v>Aktif</x:v>
      </x:c>
      <x:c r="M146" s="70" t="str"/>
    </x:row>
    <x:row r="147">
      <x:c r="A147" s="96" t="str">
        <x:v>4M20514XX0</x:v>
      </x:c>
      <x:c r="B147" s="102" t="n">
        <x:v>4</x:v>
      </x:c>
      <x:c r="C147" s="108" t="str">
        <x:v>PURU KAMBERA</x:v>
      </x:c>
      <x:c r="D147" s="69" t="str">
        <x:v>PRD0048</x:v>
      </x:c>
      <x:c r="E147" s="69" t="str">
        <x:v>Kamia - Alcea Dress</x:v>
      </x:c>
      <x:c r="F147" s="69" t="str"/>
      <x:c r="G147" s="69" t="str"/>
      <x:c r="H147" s="84" t="n">
        <x:v>559900</x:v>
      </x:c>
      <x:c r="I147" s="90" t="n">
        <x:v>1</x:v>
      </x:c>
      <x:c r="J147" s="69" t="str">
        <x:f>IF(I147&lt;=0,"Habis",IF(I147&lt;=2,"Stok Terbatas","Tersedia"))</x:f>
        <x:v>Stok Terbatas</x:v>
      </x:c>
      <x:c r="K147" s="69" t="str">
        <x:v>Dress</x:v>
      </x:c>
      <x:c r="L147" s="69" t="str">
        <x:v>Aktif</x:v>
      </x:c>
      <x:c r="M147" s="70" t="str"/>
    </x:row>
    <x:row r="148">
      <x:c r="A148" s="96" t="str">
        <x:v>4M120651XX0</x:v>
      </x:c>
      <x:c r="B148" s="102" t="n">
        <x:v>4</x:v>
      </x:c>
      <x:c r="C148" s="108" t="str">
        <x:v>PURU KAMBERA</x:v>
      </x:c>
      <x:c r="D148" s="69" t="str">
        <x:v>PRD0077</x:v>
      </x:c>
      <x:c r="E148" s="69" t="str">
        <x:v>Kinan Tunic</x:v>
      </x:c>
      <x:c r="F148" s="69" t="str"/>
      <x:c r="G148" s="69" t="str"/>
      <x:c r="H148" s="84" t="n">
        <x:v>409900</x:v>
      </x:c>
      <x:c r="I148" s="90" t="n">
        <x:v>3</x:v>
      </x:c>
      <x:c r="J148" s="69" t="str">
        <x:f>IF(I148&lt;=0,"Habis",IF(I148&lt;=2,"Stok Terbatas","Tersedia"))</x:f>
        <x:v>Tersedia</x:v>
      </x:c>
      <x:c r="K148" s="69" t="str">
        <x:v>Tunic</x:v>
      </x:c>
      <x:c r="L148" s="69" t="str">
        <x:v>Aktif</x:v>
      </x:c>
      <x:c r="M148" s="70" t="str"/>
    </x:row>
    <x:row r="149">
      <x:c r="A149" s="96" t="str">
        <x:v>4M102300XX0</x:v>
      </x:c>
      <x:c r="B149" s="102" t="n">
        <x:v>4</x:v>
      </x:c>
      <x:c r="C149" s="108" t="str">
        <x:v>PURU KAMBERA</x:v>
      </x:c>
      <x:c r="D149" s="69" t="str">
        <x:v>PRD0046</x:v>
      </x:c>
      <x:c r="E149" s="69" t="str">
        <x:v>Lune Blouse Serut</x:v>
      </x:c>
      <x:c r="F149" s="69" t="str"/>
      <x:c r="G149" s="69" t="str"/>
      <x:c r="H149" s="84" t="n">
        <x:v>416000</x:v>
      </x:c>
      <x:c r="I149" s="90" t="n">
        <x:v>2</x:v>
      </x:c>
      <x:c r="J149" s="69" t="str">
        <x:f>IF(I149&lt;=0,"Habis",IF(I149&lt;=2,"Stok Terbatas","Tersedia"))</x:f>
        <x:v>Stok Terbatas</x:v>
      </x:c>
      <x:c r="K149" s="69" t="str">
        <x:v>Blouse</x:v>
      </x:c>
      <x:c r="L149" s="69" t="str">
        <x:v>Aktif</x:v>
      </x:c>
      <x:c r="M149" s="70" t="str"/>
    </x:row>
    <x:row r="150">
      <x:c r="A150" s="96" t="str">
        <x:v>4M12528XX0</x:v>
      </x:c>
      <x:c r="B150" s="102" t="n">
        <x:v>4</x:v>
      </x:c>
      <x:c r="C150" s="108" t="str">
        <x:v>PURU KAMBERA</x:v>
      </x:c>
      <x:c r="D150" s="69" t="str">
        <x:v>PRD0052</x:v>
      </x:c>
      <x:c r="E150" s="69" t="str">
        <x:v>Lunelle Scarf</x:v>
      </x:c>
      <x:c r="F150" s="69" t="str"/>
      <x:c r="G150" s="69" t="str"/>
      <x:c r="H150" s="84" t="n">
        <x:v>258500</x:v>
      </x:c>
      <x:c r="I150" s="90" t="n">
        <x:v>1</x:v>
      </x:c>
      <x:c r="J150" s="69" t="str">
        <x:f>IF(I150&lt;=0,"Habis",IF(I150&lt;=2,"Stok Terbatas","Tersedia"))</x:f>
        <x:v>Stok Terbatas</x:v>
      </x:c>
      <x:c r="K150" s="69" t="str">
        <x:v>Hijab</x:v>
      </x:c>
      <x:c r="L150" s="69" t="str">
        <x:v>Aktif</x:v>
      </x:c>
      <x:c r="M150" s="70" t="str"/>
    </x:row>
    <x:row r="151">
      <x:c r="A151" s="96" t="str">
        <x:v>4M122224XX0</x:v>
      </x:c>
      <x:c r="B151" s="102" t="n">
        <x:v>4</x:v>
      </x:c>
      <x:c r="C151" s="108" t="str">
        <x:v>PURU KAMBERA</x:v>
      </x:c>
      <x:c r="D151" s="69" t="str">
        <x:v>PRD0078</x:v>
      </x:c>
      <x:c r="E151" s="69" t="str">
        <x:v>Miraya Tunic</x:v>
      </x:c>
      <x:c r="F151" s="69" t="str"/>
      <x:c r="G151" s="69" t="str"/>
      <x:c r="H151" s="84" t="n">
        <x:v>437800</x:v>
      </x:c>
      <x:c r="I151" s="90" t="n">
        <x:v>1</x:v>
      </x:c>
      <x:c r="J151" s="69" t="str">
        <x:f>IF(I151&lt;=0,"Habis",IF(I151&lt;=2,"Stok Terbatas","Tersedia"))</x:f>
        <x:v>Stok Terbatas</x:v>
      </x:c>
      <x:c r="K151" s="69" t="str">
        <x:v>Tunic</x:v>
      </x:c>
      <x:c r="L151" s="69" t="str">
        <x:v>Aktif</x:v>
      </x:c>
      <x:c r="M151" s="70" t="str"/>
    </x:row>
    <x:row r="152">
      <x:c r="A152" s="96" t="str">
        <x:v>4M50142XX0</x:v>
      </x:c>
      <x:c r="B152" s="102" t="n">
        <x:v>4</x:v>
      </x:c>
      <x:c r="C152" s="108" t="str">
        <x:v>PURU KAMBERA</x:v>
      </x:c>
      <x:c r="D152" s="69" t="str">
        <x:v>PRD0071</x:v>
      </x:c>
      <x:c r="E152" s="69" t="str">
        <x:v>Naree Knit Stormy</x:v>
      </x:c>
      <x:c r="F152" s="69" t="str"/>
      <x:c r="G152" s="69" t="str"/>
      <x:c r="H152" s="84" t="n">
        <x:v>449900</x:v>
      </x:c>
      <x:c r="I152" s="90" t="n">
        <x:v>1</x:v>
      </x:c>
      <x:c r="J152" s="69" t="str">
        <x:f>IF(I152&lt;=0,"Habis",IF(I152&lt;=2,"Stok Terbatas","Tersedia"))</x:f>
        <x:v>Stok Terbatas</x:v>
      </x:c>
      <x:c r="K152" s="69" t="str">
        <x:v>Sweater</x:v>
      </x:c>
      <x:c r="L152" s="69" t="str">
        <x:v>Aktif</x:v>
      </x:c>
      <x:c r="M152" s="70" t="str"/>
    </x:row>
    <x:row r="153">
      <x:c r="A153" s="96" t="str">
        <x:v>4M90665XX0</x:v>
      </x:c>
      <x:c r="B153" s="102" t="n">
        <x:v>4</x:v>
      </x:c>
      <x:c r="C153" s="108" t="str">
        <x:v>PURU KAMBERA</x:v>
      </x:c>
      <x:c r="D153" s="69" t="str">
        <x:v>PRD0064</x:v>
      </x:c>
      <x:c r="E153" s="69" t="str">
        <x:v>Nuwa Wrap Skirt</x:v>
      </x:c>
      <x:c r="F153" s="69" t="str"/>
      <x:c r="G153" s="69" t="str"/>
      <x:c r="H153" s="84" t="n">
        <x:v>249900</x:v>
      </x:c>
      <x:c r="I153" s="90" t="n">
        <x:v>1</x:v>
      </x:c>
      <x:c r="J153" s="69" t="str">
        <x:f>IF(I153&lt;=0,"Habis",IF(I153&lt;=2,"Stok Terbatas","Tersedia"))</x:f>
        <x:v>Stok Terbatas</x:v>
      </x:c>
      <x:c r="K153" s="69" t="str">
        <x:v>Skirt</x:v>
      </x:c>
      <x:c r="L153" s="69" t="str">
        <x:v>Aktif</x:v>
      </x:c>
      <x:c r="M153" s="70" t="str"/>
    </x:row>
    <x:row r="154">
      <x:c r="A154" s="96" t="str">
        <x:v>4M32187XX0</x:v>
      </x:c>
      <x:c r="B154" s="102" t="n">
        <x:v>4</x:v>
      </x:c>
      <x:c r="C154" s="108" t="str">
        <x:v>PURU KAMBERA</x:v>
      </x:c>
      <x:c r="D154" s="69" t="str">
        <x:v>PRD0061</x:v>
      </x:c>
      <x:c r="E154" s="69" t="str">
        <x:v>Orla Shirt</x:v>
      </x:c>
      <x:c r="F154" s="69" t="str"/>
      <x:c r="G154" s="69" t="str"/>
      <x:c r="H154" s="84" t="n">
        <x:v>413885</x:v>
      </x:c>
      <x:c r="I154" s="90" t="n">
        <x:v>1</x:v>
      </x:c>
      <x:c r="J154" s="69" t="str">
        <x:f>IF(I154&lt;=0,"Habis",IF(I154&lt;=2,"Stok Terbatas","Tersedia"))</x:f>
        <x:v>Stok Terbatas</x:v>
      </x:c>
      <x:c r="K154" s="69" t="str">
        <x:v>Shirt</x:v>
      </x:c>
      <x:c r="L154" s="69" t="str">
        <x:v>Aktif</x:v>
      </x:c>
      <x:c r="M154" s="70" t="str"/>
    </x:row>
    <x:row r="155">
      <x:c r="A155" s="96" t="str">
        <x:v>4M40118X4</x:v>
      </x:c>
      <x:c r="B155" s="102" t="n">
        <x:v>4</x:v>
      </x:c>
      <x:c r="C155" s="108" t="str">
        <x:v>PURU KAMBERA</x:v>
      </x:c>
      <x:c r="D155" s="69" t="str">
        <x:v>PRD0072</x:v>
      </x:c>
      <x:c r="E155" s="69" t="str">
        <x:v>Passion Cardigan Kids / L-XL (8-10Y)</x:v>
      </x:c>
      <x:c r="F155" s="69" t="str"/>
      <x:c r="G155" s="69" t="str">
        <x:v>8-10Y</x:v>
      </x:c>
      <x:c r="H155" s="84" t="n">
        <x:v>350400</x:v>
      </x:c>
      <x:c r="I155" s="90" t="n">
        <x:v>1</x:v>
      </x:c>
      <x:c r="J155" s="69" t="str">
        <x:f>IF(I155&lt;=0,"Habis",IF(I155&lt;=2,"Stok Terbatas","Tersedia"))</x:f>
        <x:v>Stok Terbatas</x:v>
      </x:c>
      <x:c r="K155" s="69" t="str">
        <x:v>Sweater</x:v>
      </x:c>
      <x:c r="L155" s="69" t="str">
        <x:v>Aktif</x:v>
      </x:c>
      <x:c r="M155" s="70" t="str"/>
    </x:row>
    <x:row r="156">
      <x:c r="A156" s="96" t="str">
        <x:v>4M40117X2</x:v>
      </x:c>
      <x:c r="B156" s="102" t="n">
        <x:v>4</x:v>
      </x:c>
      <x:c r="C156" s="108" t="str">
        <x:v>PURU KAMBERA</x:v>
      </x:c>
      <x:c r="D156" s="69" t="str">
        <x:v>PRD0073</x:v>
      </x:c>
      <x:c r="E156" s="69" t="str">
        <x:v>Passion Cardigan Kids / S-M (4-6Y)</x:v>
      </x:c>
      <x:c r="F156" s="69" t="str"/>
      <x:c r="G156" s="69" t="str">
        <x:v>4-6Y</x:v>
      </x:c>
      <x:c r="H156" s="84" t="n">
        <x:v>350400</x:v>
      </x:c>
      <x:c r="I156" s="90" t="n">
        <x:v>2</x:v>
      </x:c>
      <x:c r="J156" s="69" t="str">
        <x:f>IF(I156&lt;=0,"Habis",IF(I156&lt;=2,"Stok Terbatas","Tersedia"))</x:f>
        <x:v>Stok Terbatas</x:v>
      </x:c>
      <x:c r="K156" s="69" t="str">
        <x:v>Sweater</x:v>
      </x:c>
      <x:c r="L156" s="69" t="str">
        <x:v>Aktif</x:v>
      </x:c>
      <x:c r="M156" s="70" t="str"/>
    </x:row>
    <x:row r="157">
      <x:c r="A157" s="96" t="str">
        <x:v>4M11415XX0</x:v>
      </x:c>
      <x:c r="B157" s="102" t="n">
        <x:v>4</x:v>
      </x:c>
      <x:c r="C157" s="108" t="str">
        <x:v>PURU KAMBERA</x:v>
      </x:c>
      <x:c r="D157" s="69" t="str">
        <x:v>PRD0053</x:v>
      </x:c>
      <x:c r="E157" s="69" t="str">
        <x:v>Reese Scarf - Pink</x:v>
      </x:c>
      <x:c r="F157" s="69" t="str">
        <x:v>Pink</x:v>
      </x:c>
      <x:c r="G157" s="69" t="str"/>
      <x:c r="H157" s="84" t="n">
        <x:v>235000</x:v>
      </x:c>
      <x:c r="I157" s="90" t="n">
        <x:v>1</x:v>
      </x:c>
      <x:c r="J157" s="69" t="str">
        <x:f>IF(I157&lt;=0,"Habis",IF(I157&lt;=2,"Stok Terbatas","Tersedia"))</x:f>
        <x:v>Stok Terbatas</x:v>
      </x:c>
      <x:c r="K157" s="69" t="str">
        <x:v>Hijab</x:v>
      </x:c>
      <x:c r="L157" s="69" t="str">
        <x:v>Aktif</x:v>
      </x:c>
      <x:c r="M157" s="70" t="str"/>
    </x:row>
    <x:row r="158">
      <x:c r="A158" s="96" t="str">
        <x:v>4M12197XX0</x:v>
      </x:c>
      <x:c r="B158" s="102" t="n">
        <x:v>4</x:v>
      </x:c>
      <x:c r="C158" s="108" t="str">
        <x:v>PURU KAMBERA</x:v>
      </x:c>
      <x:c r="D158" s="69" t="str">
        <x:v>PRD0054</x:v>
      </x:c>
      <x:c r="E158" s="69" t="str">
        <x:v>Riva Scarf</x:v>
      </x:c>
      <x:c r="F158" s="69" t="str"/>
      <x:c r="G158" s="69" t="str"/>
      <x:c r="H158" s="84" t="n">
        <x:v>258500</x:v>
      </x:c>
      <x:c r="I158" s="90" t="n">
        <x:v>1</x:v>
      </x:c>
      <x:c r="J158" s="69" t="str">
        <x:f>IF(I158&lt;=0,"Habis",IF(I158&lt;=2,"Stok Terbatas","Tersedia"))</x:f>
        <x:v>Stok Terbatas</x:v>
      </x:c>
      <x:c r="K158" s="69" t="str">
        <x:v>Hijab</x:v>
      </x:c>
      <x:c r="L158" s="69" t="str">
        <x:v>Aktif</x:v>
      </x:c>
      <x:c r="M158" s="70" t="str"/>
    </x:row>
    <x:row r="159">
      <x:c r="A159" s="96" t="str">
        <x:v>4M11539XX0</x:v>
      </x:c>
      <x:c r="B159" s="102" t="n">
        <x:v>4</x:v>
      </x:c>
      <x:c r="C159" s="108" t="str">
        <x:v>PURU KAMBERA</x:v>
      </x:c>
      <x:c r="D159" s="69" t="str">
        <x:v>PRD0055</x:v>
      </x:c>
      <x:c r="E159" s="69" t="str">
        <x:v>Sekala Series - Calestia Scarf</x:v>
      </x:c>
      <x:c r="F159" s="69" t="str"/>
      <x:c r="G159" s="69" t="str"/>
      <x:c r="H159" s="84" t="n">
        <x:v>235000</x:v>
      </x:c>
      <x:c r="I159" s="90" t="n">
        <x:v>1</x:v>
      </x:c>
      <x:c r="J159" s="69" t="str">
        <x:f>IF(I159&lt;=0,"Habis",IF(I159&lt;=2,"Stok Terbatas","Tersedia"))</x:f>
        <x:v>Stok Terbatas</x:v>
      </x:c>
      <x:c r="K159" s="69" t="str">
        <x:v>Hijab</x:v>
      </x:c>
      <x:c r="L159" s="69" t="str">
        <x:v>Aktif</x:v>
      </x:c>
      <x:c r="M159" s="70" t="str"/>
    </x:row>
    <x:row r="160">
      <x:c r="A160" s="96" t="str">
        <x:v>4M32188XX0</x:v>
      </x:c>
      <x:c r="B160" s="102" t="n">
        <x:v>4</x:v>
      </x:c>
      <x:c r="C160" s="108" t="str">
        <x:v>PURU KAMBERA</x:v>
      </x:c>
      <x:c r="D160" s="69" t="str">
        <x:v>PRD0062</x:v>
      </x:c>
      <x:c r="E160" s="69" t="str">
        <x:v>Veya Shirt</x:v>
      </x:c>
      <x:c r="F160" s="69" t="str"/>
      <x:c r="G160" s="69" t="str"/>
      <x:c r="H160" s="84" t="n">
        <x:v>413885</x:v>
      </x:c>
      <x:c r="I160" s="90" t="n">
        <x:v>1</x:v>
      </x:c>
      <x:c r="J160" s="69" t="str">
        <x:f>IF(I160&lt;=0,"Habis",IF(I160&lt;=2,"Stok Terbatas","Tersedia"))</x:f>
        <x:v>Stok Terbatas</x:v>
      </x:c>
      <x:c r="K160" s="69" t="str">
        <x:v>Shirt</x:v>
      </x:c>
      <x:c r="L160" s="69" t="str">
        <x:v>Aktif</x:v>
      </x:c>
      <x:c r="M160" s="70" t="str"/>
    </x:row>
    <x:row r="161">
      <x:c r="A161" s="96" t="str">
        <x:v>4M40100XX0</x:v>
      </x:c>
      <x:c r="B161" s="102" t="n">
        <x:v>4</x:v>
      </x:c>
      <x:c r="C161" s="108" t="str">
        <x:v>PURU KAMBERA</x:v>
      </x:c>
      <x:c r="D161" s="69" t="str">
        <x:v>PRD0074</x:v>
      </x:c>
      <x:c r="E161" s="69" t="str">
        <x:v>Warrior's Heart Knitwear - Creme</x:v>
      </x:c>
      <x:c r="F161" s="69" t="str">
        <x:v>Creme</x:v>
      </x:c>
      <x:c r="G161" s="69" t="str"/>
      <x:c r="H161" s="84" t="n">
        <x:v>499900</x:v>
      </x:c>
      <x:c r="I161" s="90" t="n">
        <x:v>2</x:v>
      </x:c>
      <x:c r="J161" s="69" t="str">
        <x:f>IF(I161&lt;=0,"Habis",IF(I161&lt;=2,"Stok Terbatas","Tersedia"))</x:f>
        <x:v>Stok Terbatas</x:v>
      </x:c>
      <x:c r="K161" s="69" t="str">
        <x:v>Sweater</x:v>
      </x:c>
      <x:c r="L161" s="69" t="str">
        <x:v>Aktif</x:v>
      </x:c>
      <x:c r="M161" s="70" t="str"/>
    </x:row>
    <x:row r="162">
      <x:c r="A162" s="96" t="str">
        <x:v>4M31779XY2</x:v>
      </x:c>
      <x:c r="B162" s="102" t="n">
        <x:v>4</x:v>
      </x:c>
      <x:c r="C162" s="108" t="str">
        <x:v>PURU KAMBERA</x:v>
      </x:c>
      <x:c r="D162" s="69" t="str">
        <x:v>PRD0063</x:v>
      </x:c>
      <x:c r="E162" s="69" t="str">
        <x:v>Yasira Boy Shirt (5-6y)</x:v>
      </x:c>
      <x:c r="F162" s="69" t="str"/>
      <x:c r="G162" s="69" t="str">
        <x:v>5-6y</x:v>
      </x:c>
      <x:c r="H162" s="84" t="n">
        <x:v>169900</x:v>
      </x:c>
      <x:c r="I162" s="90" t="n">
        <x:v>1</x:v>
      </x:c>
      <x:c r="J162" s="69" t="str">
        <x:f>IF(I162&lt;=0,"Habis",IF(I162&lt;=2,"Stok Terbatas","Tersedia"))</x:f>
        <x:v>Stok Terbatas</x:v>
      </x:c>
      <x:c r="K162" s="69" t="str">
        <x:v>Shirt</x:v>
      </x:c>
      <x:c r="L162" s="69" t="str">
        <x:v>Aktif</x:v>
      </x:c>
      <x:c r="M162" s="70" t="str"/>
    </x:row>
    <x:row r="163">
      <x:c r="A163" s="96" t="str">
        <x:v>4M31779XY3</x:v>
      </x:c>
      <x:c r="B163" s="102" t="n">
        <x:v>4</x:v>
      </x:c>
      <x:c r="C163" s="108" t="str">
        <x:v>PURU KAMBERA</x:v>
      </x:c>
      <x:c r="D163" s="69" t="str">
        <x:v>PRD0063</x:v>
      </x:c>
      <x:c r="E163" s="69" t="str">
        <x:v>Yasira Boy Shirt (7-8y)</x:v>
      </x:c>
      <x:c r="F163" s="69" t="str"/>
      <x:c r="G163" s="69" t="str">
        <x:v>7-8y</x:v>
      </x:c>
      <x:c r="H163" s="84" t="n">
        <x:v>169900</x:v>
      </x:c>
      <x:c r="I163" s="90" t="n">
        <x:v>1</x:v>
      </x:c>
      <x:c r="J163" s="69" t="str">
        <x:f>IF(I163&lt;=0,"Habis",IF(I163&lt;=2,"Stok Terbatas","Tersedia"))</x:f>
        <x:v>Stok Terbatas</x:v>
      </x:c>
      <x:c r="K163" s="69" t="str">
        <x:v>Shirt</x:v>
      </x:c>
      <x:c r="L163" s="69" t="str">
        <x:v>Aktif</x:v>
      </x:c>
      <x:c r="M163" s="70" t="str"/>
    </x:row>
    <x:row r="164">
      <x:c r="A164" s="96" t="str">
        <x:v>4M21902XX1</x:v>
      </x:c>
      <x:c r="B164" s="102" t="n">
        <x:v>4</x:v>
      </x:c>
      <x:c r="C164" s="108" t="str">
        <x:v>PURU KAMBERA</x:v>
      </x:c>
      <x:c r="D164" s="69" t="str">
        <x:v>PRD0049</x:v>
      </x:c>
      <x:c r="E164" s="69" t="str">
        <x:v>Yasira Midi Girl (3-4y)</x:v>
      </x:c>
      <x:c r="F164" s="69" t="str"/>
      <x:c r="G164" s="69" t="str">
        <x:v>3-4y</x:v>
      </x:c>
      <x:c r="H164" s="84" t="n">
        <x:v>209900</x:v>
      </x:c>
      <x:c r="I164" s="90" t="n">
        <x:v>1</x:v>
      </x:c>
      <x:c r="J164" s="69" t="str">
        <x:f>IF(I164&lt;=0,"Habis",IF(I164&lt;=2,"Stok Terbatas","Tersedia"))</x:f>
        <x:v>Stok Terbatas</x:v>
      </x:c>
      <x:c r="K164" s="69" t="str">
        <x:v>Dress</x:v>
      </x:c>
      <x:c r="L164" s="69" t="str">
        <x:v>Aktif</x:v>
      </x:c>
      <x:c r="M164" s="70" t="str"/>
    </x:row>
    <x:row r="165">
      <x:c r="A165" s="96" t="str">
        <x:v>4M21903XX3</x:v>
      </x:c>
      <x:c r="B165" s="102" t="n">
        <x:v>4</x:v>
      </x:c>
      <x:c r="C165" s="108" t="str">
        <x:v>PURU KAMBERA</x:v>
      </x:c>
      <x:c r="D165" s="69" t="str">
        <x:v>PRD0049</x:v>
      </x:c>
      <x:c r="E165" s="69" t="str">
        <x:v>Yasira Midi Girl (7-8y)</x:v>
      </x:c>
      <x:c r="F165" s="69" t="str"/>
      <x:c r="G165" s="69" t="str">
        <x:v>7-8y</x:v>
      </x:c>
      <x:c r="H165" s="84" t="n">
        <x:v>209900</x:v>
      </x:c>
      <x:c r="I165" s="90" t="n">
        <x:v>1</x:v>
      </x:c>
      <x:c r="J165" s="69" t="str">
        <x:f>IF(I165&lt;=0,"Habis",IF(I165&lt;=2,"Stok Terbatas","Tersedia"))</x:f>
        <x:v>Stok Terbatas</x:v>
      </x:c>
      <x:c r="K165" s="69" t="str">
        <x:v>Dress</x:v>
      </x:c>
      <x:c r="L165" s="69" t="str">
        <x:v>Aktif</x:v>
      </x:c>
      <x:c r="M165" s="70" t="str"/>
    </x:row>
    <x:row r="166">
      <x:c r="A166" s="96" t="str">
        <x:v>4M21906XX1</x:v>
      </x:c>
      <x:c r="B166" s="102" t="n">
        <x:v>4</x:v>
      </x:c>
      <x:c r="C166" s="108" t="str">
        <x:v>PURU KAMBERA</x:v>
      </x:c>
      <x:c r="D166" s="69" t="str">
        <x:v>PRD0050</x:v>
      </x:c>
      <x:c r="E166" s="69" t="str">
        <x:v>Zayna Midi Girl (3-4y)</x:v>
      </x:c>
      <x:c r="F166" s="69" t="str"/>
      <x:c r="G166" s="69" t="str">
        <x:v>3-4y</x:v>
      </x:c>
      <x:c r="H166" s="84" t="n">
        <x:v>209900</x:v>
      </x:c>
      <x:c r="I166" s="90" t="n">
        <x:v>1</x:v>
      </x:c>
      <x:c r="J166" s="69" t="str">
        <x:f>IF(I166&lt;=0,"Habis",IF(I166&lt;=2,"Stok Terbatas","Tersedia"))</x:f>
        <x:v>Stok Terbatas</x:v>
      </x:c>
      <x:c r="K166" s="69" t="str">
        <x:v>Dress</x:v>
      </x:c>
      <x:c r="L166" s="69" t="str">
        <x:v>Aktif</x:v>
      </x:c>
      <x:c r="M166" s="70" t="str"/>
    </x:row>
    <x:row r="167">
      <x:c r="A167" s="96" t="str">
        <x:v>6M50865XX0</x:v>
      </x:c>
      <x:c r="B167" s="102" t="n">
        <x:v>6</x:v>
      </x:c>
      <x:c r="C167" s="108" t="str">
        <x:v>TUTUTBI HANDMADE</x:v>
      </x:c>
      <x:c r="D167" s="69" t="str">
        <x:v>PRD0079</x:v>
      </x:c>
      <x:c r="E167" s="69" t="str">
        <x:v>Hibiscus Brooch - White Pearls</x:v>
      </x:c>
      <x:c r="F167" s="69" t="str">
        <x:v>White Pearls</x:v>
      </x:c>
      <x:c r="G167" s="69" t="str"/>
      <x:c r="H167" s="84" t="n">
        <x:v>50000</x:v>
      </x:c>
      <x:c r="I167" s="90" t="n">
        <x:v>1</x:v>
      </x:c>
      <x:c r="J167" s="69" t="str">
        <x:f>IF(I167&lt;=0,"Habis",IF(I167&lt;=2,"Stok Terbatas","Tersedia"))</x:f>
        <x:v>Stok Terbatas</x:v>
      </x:c>
      <x:c r="K167" s="69" t="str">
        <x:v>Aksesoris</x:v>
      </x:c>
      <x:c r="L167" s="69" t="str">
        <x:v>Aktif</x:v>
      </x:c>
      <x:c r="M167" s="70" t="str"/>
    </x:row>
    <x:row r="168">
      <x:c r="A168" s="96" t="str">
        <x:v>6M50421XX0</x:v>
      </x:c>
      <x:c r="B168" s="102" t="n">
        <x:v>6</x:v>
      </x:c>
      <x:c r="C168" s="108" t="str">
        <x:v>TUTUTBI HANDMADE</x:v>
      </x:c>
      <x:c r="D168" s="69" t="str">
        <x:v>PRD0080</x:v>
      </x:c>
      <x:c r="E168" s="69" t="str">
        <x:v>Matcha Earring</x:v>
      </x:c>
      <x:c r="F168" s="69" t="str"/>
      <x:c r="G168" s="69" t="str"/>
      <x:c r="H168" s="84" t="n">
        <x:v>95000</x:v>
      </x:c>
      <x:c r="I168" s="90" t="n">
        <x:v>1</x:v>
      </x:c>
      <x:c r="J168" s="69" t="str">
        <x:f>IF(I168&lt;=0,"Habis",IF(I168&lt;=2,"Stok Terbatas","Tersedia"))</x:f>
        <x:v>Stok Terbatas</x:v>
      </x:c>
      <x:c r="K168" s="69" t="str">
        <x:v>Aksesoris</x:v>
      </x:c>
      <x:c r="L168" s="69" t="str">
        <x:v>Aktif</x:v>
      </x:c>
      <x:c r="M168" s="70" t="str"/>
    </x:row>
    <x:row r="169">
      <x:c r="A169" s="96" t="str">
        <x:v>6M50639XX0</x:v>
      </x:c>
      <x:c r="B169" s="102" t="n">
        <x:v>6</x:v>
      </x:c>
      <x:c r="C169" s="108" t="str">
        <x:v>TUTUTBI HANDMADE</x:v>
      </x:c>
      <x:c r="D169" s="69" t="str">
        <x:v>PRD0081</x:v>
      </x:c>
      <x:c r="E169" s="69" t="str">
        <x:v>Rosee Brooch</x:v>
      </x:c>
      <x:c r="F169" s="69" t="str"/>
      <x:c r="G169" s="69" t="str"/>
      <x:c r="H169" s="84" t="n">
        <x:v>125000</x:v>
      </x:c>
      <x:c r="I169" s="90" t="n">
        <x:v>1</x:v>
      </x:c>
      <x:c r="J169" s="69" t="str">
        <x:f>IF(I169&lt;=0,"Habis",IF(I169&lt;=2,"Stok Terbatas","Tersedia"))</x:f>
        <x:v>Stok Terbatas</x:v>
      </x:c>
      <x:c r="K169" s="69" t="str">
        <x:v>Aksesoris</x:v>
      </x:c>
      <x:c r="L169" s="69" t="str">
        <x:v>Aktif</x:v>
      </x:c>
      <x:c r="M169" s="70" t="str"/>
    </x:row>
    <x:row r="170">
      <x:c r="A170" s="96" t="str">
        <x:v>6M50861XX0</x:v>
      </x:c>
      <x:c r="B170" s="102" t="n">
        <x:v>6</x:v>
      </x:c>
      <x:c r="C170" s="108" t="str">
        <x:v>TUTUTBI HANDMADE</x:v>
      </x:c>
      <x:c r="D170" s="69" t="str">
        <x:v>PRD0082</x:v>
      </x:c>
      <x:c r="E170" s="69" t="str">
        <x:v>Tiara Brooch</x:v>
      </x:c>
      <x:c r="F170" s="69" t="str"/>
      <x:c r="G170" s="69" t="str"/>
      <x:c r="H170" s="84" t="n">
        <x:v>125000</x:v>
      </x:c>
      <x:c r="I170" s="90" t="n">
        <x:v>1</x:v>
      </x:c>
      <x:c r="J170" s="69" t="str">
        <x:f>IF(I170&lt;=0,"Habis",IF(I170&lt;=2,"Stok Terbatas","Tersedia"))</x:f>
        <x:v>Stok Terbatas</x:v>
      </x:c>
      <x:c r="K170" s="69" t="str">
        <x:v>Aksesoris</x:v>
      </x:c>
      <x:c r="L170" s="69" t="str">
        <x:v>Aktif</x:v>
      </x:c>
      <x:c r="M170" s="70" t="str"/>
    </x:row>
    <x:row r="171">
      <x:c r="A171" s="96" t="str">
        <x:v>6M50637XX0</x:v>
      </x:c>
      <x:c r="B171" s="102" t="n">
        <x:v>6</x:v>
      </x:c>
      <x:c r="C171" s="108" t="str">
        <x:v>TUTUTBI HANDMADE</x:v>
      </x:c>
      <x:c r="D171" s="69" t="str">
        <x:v>PRD0083</x:v>
      </x:c>
      <x:c r="E171" s="69" t="str">
        <x:v>Zamrud Brooch (White, Gold &amp; Green)</x:v>
      </x:c>
      <x:c r="F171" s="69" t="str">
        <x:v>White, Gold &amp; Green</x:v>
      </x:c>
      <x:c r="G171" s="69" t="str"/>
      <x:c r="H171" s="84" t="n">
        <x:v>125000</x:v>
      </x:c>
      <x:c r="I171" s="90" t="n">
        <x:v>2</x:v>
      </x:c>
      <x:c r="J171" s="69" t="str">
        <x:f>IF(I171&lt;=0,"Habis",IF(I171&lt;=2,"Stok Terbatas","Tersedia"))</x:f>
        <x:v>Stok Terbatas</x:v>
      </x:c>
      <x:c r="K171" s="69" t="str">
        <x:v>Aksesoris</x:v>
      </x:c>
      <x:c r="L171" s="69" t="str">
        <x:v>Aktif</x:v>
      </x:c>
      <x:c r="M171" s="70" t="str"/>
    </x:row>
    <x:row r="172">
      <x:c r="A172" s="96" t="str">
        <x:v>7M50488XX3</x:v>
      </x:c>
      <x:c r="B172" s="102" t="n">
        <x:v>7</x:v>
      </x:c>
      <x:c r="C172" s="108" t="str">
        <x:v>BOX</x:v>
      </x:c>
      <x:c r="D172" s="69" t="str">
        <x:v>PRD0084</x:v>
      </x:c>
      <x:c r="E172" s="69" t="str">
        <x:v>Box Hampers (L)</x:v>
      </x:c>
      <x:c r="F172" s="69" t="str"/>
      <x:c r="G172" s="69" t="str">
        <x:v>L</x:v>
      </x:c>
      <x:c r="H172" s="84" t="n">
        <x:v>15000</x:v>
      </x:c>
      <x:c r="I172" s="90" t="n">
        <x:v>43</x:v>
      </x:c>
      <x:c r="J172" s="69" t="str">
        <x:f>IF(I172&lt;=0,"Habis",IF(I172&lt;=2,"Stok Terbatas","Tersedia"))</x:f>
        <x:v>Tersedia</x:v>
      </x:c>
      <x:c r="K172" s="69" t="str">
        <x:v>Aksesoris</x:v>
      </x:c>
      <x:c r="L172" s="69" t="str">
        <x:v>Aktif</x:v>
      </x:c>
      <x:c r="M172" s="70" t="str"/>
    </x:row>
    <x:row r="173">
      <x:c r="A173" s="96" t="str">
        <x:v>7M50487XX2</x:v>
      </x:c>
      <x:c r="B173" s="102" t="n">
        <x:v>7</x:v>
      </x:c>
      <x:c r="C173" s="108" t="str">
        <x:v>BOX</x:v>
      </x:c>
      <x:c r="D173" s="69" t="str">
        <x:v>PRD0084</x:v>
      </x:c>
      <x:c r="E173" s="69" t="str">
        <x:v>Box Hampers (M)</x:v>
      </x:c>
      <x:c r="F173" s="69" t="str"/>
      <x:c r="G173" s="69" t="str">
        <x:v>M</x:v>
      </x:c>
      <x:c r="H173" s="84" t="n">
        <x:v>10000</x:v>
      </x:c>
      <x:c r="I173" s="90" t="n">
        <x:v>65</x:v>
      </x:c>
      <x:c r="J173" s="69" t="str">
        <x:f>IF(I173&lt;=0,"Habis",IF(I173&lt;=2,"Stok Terbatas","Tersedia"))</x:f>
        <x:v>Tersedia</x:v>
      </x:c>
      <x:c r="K173" s="69" t="str">
        <x:v>Aksesoris</x:v>
      </x:c>
      <x:c r="L173" s="69" t="str">
        <x:v>Aktif</x:v>
      </x:c>
      <x:c r="M173" s="70" t="str"/>
    </x:row>
    <x:row r="174">
      <x:c r="A174" s="96" t="str">
        <x:v>7M50486XX1</x:v>
      </x:c>
      <x:c r="B174" s="102" t="n">
        <x:v>7</x:v>
      </x:c>
      <x:c r="C174" s="108" t="str">
        <x:v>BOX</x:v>
      </x:c>
      <x:c r="D174" s="69" t="str">
        <x:v>PRD0084</x:v>
      </x:c>
      <x:c r="E174" s="69" t="str">
        <x:v>Box Hampers (S)</x:v>
      </x:c>
      <x:c r="F174" s="69" t="str"/>
      <x:c r="G174" s="69" t="str">
        <x:v>S</x:v>
      </x:c>
      <x:c r="H174" s="84" t="n">
        <x:v>5000</x:v>
      </x:c>
      <x:c r="I174" s="90" t="n">
        <x:v>37</x:v>
      </x:c>
      <x:c r="J174" s="69" t="str">
        <x:f>IF(I174&lt;=0,"Habis",IF(I174&lt;=2,"Stok Terbatas","Tersedia"))</x:f>
        <x:v>Tersedia</x:v>
      </x:c>
      <x:c r="K174" s="69" t="str">
        <x:v>Aksesoris</x:v>
      </x:c>
      <x:c r="L174" s="69" t="str">
        <x:v>Aktif</x:v>
      </x:c>
      <x:c r="M174" s="70" t="str"/>
    </x:row>
    <x:row r="175">
      <x:c r="A175" s="96" t="str">
        <x:v>9M31433XX0</x:v>
      </x:c>
      <x:c r="B175" s="102" t="n">
        <x:v>9</x:v>
      </x:c>
      <x:c r="C175" s="108" t="str">
        <x:v>BAMBOO STUDIO</x:v>
      </x:c>
      <x:c r="D175" s="69" t="str">
        <x:v>PRD0087</x:v>
      </x:c>
      <x:c r="E175" s="69" t="str">
        <x:v>Aileen Top - Blue</x:v>
      </x:c>
      <x:c r="F175" s="69" t="str">
        <x:v>Blue</x:v>
      </x:c>
      <x:c r="G175" s="69" t="str"/>
      <x:c r="H175" s="84" t="n">
        <x:v>365000</x:v>
      </x:c>
      <x:c r="I175" s="90" t="n">
        <x:v>2</x:v>
      </x:c>
      <x:c r="J175" s="69" t="str">
        <x:f>IF(I175&lt;=0,"Habis",IF(I175&lt;=2,"Stok Terbatas","Tersedia"))</x:f>
        <x:v>Stok Terbatas</x:v>
      </x:c>
      <x:c r="K175" s="69" t="str">
        <x:v>Shirt</x:v>
      </x:c>
      <x:c r="L175" s="69" t="str">
        <x:v>Aktif</x:v>
      </x:c>
      <x:c r="M175" s="70" t="str"/>
    </x:row>
    <x:row r="176">
      <x:c r="A176" s="96" t="str">
        <x:v>9M31434XX0</x:v>
      </x:c>
      <x:c r="B176" s="102" t="n">
        <x:v>9</x:v>
      </x:c>
      <x:c r="C176" s="108" t="str">
        <x:v>BAMBOO STUDIO</x:v>
      </x:c>
      <x:c r="D176" s="69" t="str">
        <x:v>PRD0087</x:v>
      </x:c>
      <x:c r="E176" s="69" t="str">
        <x:v>Aileen Top - Pink</x:v>
      </x:c>
      <x:c r="F176" s="69" t="str">
        <x:v>Pink</x:v>
      </x:c>
      <x:c r="G176" s="69" t="str"/>
      <x:c r="H176" s="84" t="n">
        <x:v>365000</x:v>
      </x:c>
      <x:c r="I176" s="90" t="n">
        <x:v>1</x:v>
      </x:c>
      <x:c r="J176" s="69" t="str">
        <x:f>IF(I176&lt;=0,"Habis",IF(I176&lt;=2,"Stok Terbatas","Tersedia"))</x:f>
        <x:v>Stok Terbatas</x:v>
      </x:c>
      <x:c r="K176" s="69" t="str">
        <x:v>Shirt</x:v>
      </x:c>
      <x:c r="L176" s="69" t="str">
        <x:v>Aktif</x:v>
      </x:c>
      <x:c r="M176" s="70" t="str"/>
    </x:row>
    <x:row r="177">
      <x:c r="A177" s="96" t="str">
        <x:v>9M132736XX0</x:v>
      </x:c>
      <x:c r="B177" s="102" t="n">
        <x:v>9</x:v>
      </x:c>
      <x:c r="C177" s="108" t="str">
        <x:v>BAMBOO STUDIO</x:v>
      </x:c>
      <x:c r="D177" s="69" t="str">
        <x:v>PRD0085</x:v>
      </x:c>
      <x:c r="E177" s="69" t="str">
        <x:v>Izreen Pants</x:v>
      </x:c>
      <x:c r="F177" s="69" t="str"/>
      <x:c r="G177" s="69" t="str"/>
      <x:c r="H177" s="84" t="n">
        <x:v>405000</x:v>
      </x:c>
      <x:c r="I177" s="90" t="n">
        <x:v>1</x:v>
      </x:c>
      <x:c r="J177" s="69" t="str">
        <x:f>IF(I177&lt;=0,"Habis",IF(I177&lt;=2,"Stok Terbatas","Tersedia"))</x:f>
        <x:v>Stok Terbatas</x:v>
      </x:c>
      <x:c r="K177" s="69" t="str">
        <x:v>Pants</x:v>
      </x:c>
      <x:c r="L177" s="69" t="str">
        <x:v>Aktif</x:v>
      </x:c>
      <x:c r="M177" s="70" t="str"/>
    </x:row>
    <x:row r="178">
      <x:c r="A178" s="96" t="str">
        <x:v>9M132051XX0</x:v>
      </x:c>
      <x:c r="B178" s="102" t="n">
        <x:v>9</x:v>
      </x:c>
      <x:c r="C178" s="108" t="str">
        <x:v>BAMBOO STUDIO</x:v>
      </x:c>
      <x:c r="D178" s="69" t="str">
        <x:v>PRD0086</x:v>
      </x:c>
      <x:c r="E178" s="69" t="str">
        <x:v>Moana Pants - Army</x:v>
      </x:c>
      <x:c r="F178" s="69" t="str">
        <x:v>Army</x:v>
      </x:c>
      <x:c r="G178" s="69" t="str"/>
      <x:c r="H178" s="84" t="n">
        <x:v>260000</x:v>
      </x:c>
      <x:c r="I178" s="90" t="n">
        <x:v>1</x:v>
      </x:c>
      <x:c r="J178" s="69" t="str">
        <x:f>IF(I178&lt;=0,"Habis",IF(I178&lt;=2,"Stok Terbatas","Tersedia"))</x:f>
        <x:v>Stok Terbatas</x:v>
      </x:c>
      <x:c r="K178" s="69" t="str">
        <x:v>Pants</x:v>
      </x:c>
      <x:c r="L178" s="69" t="str">
        <x:v>Aktif</x:v>
      </x:c>
      <x:c r="M178" s="70" t="str"/>
    </x:row>
    <x:row r="179">
      <x:c r="A179" s="96" t="str">
        <x:v>9M132052XX0</x:v>
      </x:c>
      <x:c r="B179" s="102" t="n">
        <x:v>9</x:v>
      </x:c>
      <x:c r="C179" s="108" t="str">
        <x:v>BAMBOO STUDIO</x:v>
      </x:c>
      <x:c r="D179" s="69" t="str">
        <x:v>PRD0086</x:v>
      </x:c>
      <x:c r="E179" s="69" t="str">
        <x:v>Moana Pants - Coffee</x:v>
      </x:c>
      <x:c r="F179" s="69" t="str">
        <x:v>Coffee</x:v>
      </x:c>
      <x:c r="G179" s="69" t="str"/>
      <x:c r="H179" s="84" t="n">
        <x:v>260000</x:v>
      </x:c>
      <x:c r="I179" s="90" t="n">
        <x:v>1</x:v>
      </x:c>
      <x:c r="J179" s="69" t="str">
        <x:f>IF(I179&lt;=0,"Habis",IF(I179&lt;=2,"Stok Terbatas","Tersedia"))</x:f>
        <x:v>Stok Terbatas</x:v>
      </x:c>
      <x:c r="K179" s="69" t="str">
        <x:v>Pants</x:v>
      </x:c>
      <x:c r="L179" s="69" t="str">
        <x:v>Aktif</x:v>
      </x:c>
      <x:c r="M179" s="70" t="str"/>
    </x:row>
    <x:row r="180">
      <x:c r="A180" s="96" t="str">
        <x:v>9M132049XX0</x:v>
      </x:c>
      <x:c r="B180" s="102" t="n">
        <x:v>9</x:v>
      </x:c>
      <x:c r="C180" s="108" t="str">
        <x:v>BAMBOO STUDIO</x:v>
      </x:c>
      <x:c r="D180" s="69" t="str">
        <x:v>PRD0086</x:v>
      </x:c>
      <x:c r="E180" s="69" t="str">
        <x:v>Moana Pants - Navy</x:v>
      </x:c>
      <x:c r="F180" s="69" t="str">
        <x:v>Navy</x:v>
      </x:c>
      <x:c r="G180" s="69" t="str"/>
      <x:c r="H180" s="84" t="n">
        <x:v>260000</x:v>
      </x:c>
      <x:c r="I180" s="90" t="n">
        <x:v>1</x:v>
      </x:c>
      <x:c r="J180" s="69" t="str">
        <x:f>IF(I180&lt;=0,"Habis",IF(I180&lt;=2,"Stok Terbatas","Tersedia"))</x:f>
        <x:v>Stok Terbatas</x:v>
      </x:c>
      <x:c r="K180" s="69" t="str">
        <x:v>Pants</x:v>
      </x:c>
      <x:c r="L180" s="69" t="str">
        <x:v>Aktif</x:v>
      </x:c>
      <x:c r="M180" s="70" t="str"/>
    </x:row>
    <x:row r="181">
      <x:c r="A181" s="96" t="str">
        <x:v>10M31948XX4</x:v>
      </x:c>
      <x:c r="B181" s="102" t="n">
        <x:v>10</x:v>
      </x:c>
      <x:c r="C181" s="108" t="str">
        <x:v>JINGGA SCARVES</x:v>
      </x:c>
      <x:c r="D181" s="69" t="str">
        <x:v>PRD0094</x:v>
      </x:c>
      <x:c r="E181" s="69" t="str">
        <x:v>Ina Top - White (XL)</x:v>
      </x:c>
      <x:c r="F181" s="69" t="str">
        <x:v>White</x:v>
      </x:c>
      <x:c r="G181" s="69" t="str">
        <x:v>XL</x:v>
      </x:c>
      <x:c r="H181" s="84" t="n">
        <x:v>365000</x:v>
      </x:c>
      <x:c r="I181" s="90" t="n">
        <x:v>2</x:v>
      </x:c>
      <x:c r="J181" s="69" t="str">
        <x:f>IF(I181&lt;=0,"Habis",IF(I181&lt;=2,"Stok Terbatas","Tersedia"))</x:f>
        <x:v>Stok Terbatas</x:v>
      </x:c>
      <x:c r="K181" s="69" t="str">
        <x:v>Shirt</x:v>
      </x:c>
      <x:c r="L181" s="69" t="str">
        <x:v>Aktif</x:v>
      </x:c>
      <x:c r="M181" s="70" t="str"/>
    </x:row>
    <x:row r="182">
      <x:c r="A182" s="96" t="str">
        <x:v>10M31846XY2</x:v>
      </x:c>
      <x:c r="B182" s="102" t="n">
        <x:v>10</x:v>
      </x:c>
      <x:c r="C182" s="108" t="str">
        <x:v>JINGGA SCARVES</x:v>
      </x:c>
      <x:c r="D182" s="69" t="str">
        <x:v>PRD0095</x:v>
      </x:c>
      <x:c r="E182" s="69" t="str">
        <x:v>Koko Maya Set - Blue (M)</x:v>
      </x:c>
      <x:c r="F182" s="69" t="str">
        <x:v>Blue</x:v>
      </x:c>
      <x:c r="G182" s="69" t="str">
        <x:v>M</x:v>
      </x:c>
      <x:c r="H182" s="84" t="n">
        <x:v>395000</x:v>
      </x:c>
      <x:c r="I182" s="90" t="n">
        <x:v>2</x:v>
      </x:c>
      <x:c r="J182" s="69" t="str">
        <x:f>IF(I182&lt;=0,"Habis",IF(I182&lt;=2,"Stok Terbatas","Tersedia"))</x:f>
        <x:v>Stok Terbatas</x:v>
      </x:c>
      <x:c r="K182" s="69" t="str">
        <x:v>Shirt</x:v>
      </x:c>
      <x:c r="L182" s="69" t="str">
        <x:v>Aktif</x:v>
      </x:c>
      <x:c r="M182" s="70" t="str"/>
    </x:row>
    <x:row r="183">
      <x:c r="A183" s="96" t="str">
        <x:v>10M31845XY1</x:v>
      </x:c>
      <x:c r="B183" s="102" t="n">
        <x:v>10</x:v>
      </x:c>
      <x:c r="C183" s="108" t="str">
        <x:v>JINGGA SCARVES</x:v>
      </x:c>
      <x:c r="D183" s="69" t="str">
        <x:v>PRD0095</x:v>
      </x:c>
      <x:c r="E183" s="69" t="str">
        <x:v>Koko Maya Set - Blue (S)</x:v>
      </x:c>
      <x:c r="F183" s="69" t="str">
        <x:v>Blue</x:v>
      </x:c>
      <x:c r="G183" s="69" t="str">
        <x:v>S</x:v>
      </x:c>
      <x:c r="H183" s="84" t="n">
        <x:v>395000</x:v>
      </x:c>
      <x:c r="I183" s="90" t="n">
        <x:v>1</x:v>
      </x:c>
      <x:c r="J183" s="69" t="str">
        <x:f>IF(I183&lt;=0,"Habis",IF(I183&lt;=2,"Stok Terbatas","Tersedia"))</x:f>
        <x:v>Stok Terbatas</x:v>
      </x:c>
      <x:c r="K183" s="69" t="str">
        <x:v>Shirt</x:v>
      </x:c>
      <x:c r="L183" s="69" t="str">
        <x:v>Aktif</x:v>
      </x:c>
      <x:c r="M183" s="70" t="str"/>
    </x:row>
    <x:row r="184">
      <x:c r="A184" s="96" t="str">
        <x:v>10M31850XY2</x:v>
      </x:c>
      <x:c r="B184" s="102" t="n">
        <x:v>10</x:v>
      </x:c>
      <x:c r="C184" s="108" t="str">
        <x:v>JINGGA SCARVES</x:v>
      </x:c>
      <x:c r="D184" s="69" t="str">
        <x:v>PRD0095</x:v>
      </x:c>
      <x:c r="E184" s="69" t="str">
        <x:v>Koko Maya Set - Sage (M)</x:v>
      </x:c>
      <x:c r="F184" s="69" t="str">
        <x:v>Sage</x:v>
      </x:c>
      <x:c r="G184" s="69" t="str">
        <x:v>M</x:v>
      </x:c>
      <x:c r="H184" s="84" t="n">
        <x:v>395000</x:v>
      </x:c>
      <x:c r="I184" s="90" t="n">
        <x:v>2</x:v>
      </x:c>
      <x:c r="J184" s="69" t="str">
        <x:f>IF(I184&lt;=0,"Habis",IF(I184&lt;=2,"Stok Terbatas","Tersedia"))</x:f>
        <x:v>Stok Terbatas</x:v>
      </x:c>
      <x:c r="K184" s="69" t="str">
        <x:v>Shirt</x:v>
      </x:c>
      <x:c r="L184" s="69" t="str">
        <x:v>Aktif</x:v>
      </x:c>
      <x:c r="M184" s="70" t="str"/>
    </x:row>
    <x:row r="185">
      <x:c r="A185" s="96" t="str">
        <x:v>10M31849XY1</x:v>
      </x:c>
      <x:c r="B185" s="102" t="n">
        <x:v>10</x:v>
      </x:c>
      <x:c r="C185" s="108" t="str">
        <x:v>JINGGA SCARVES</x:v>
      </x:c>
      <x:c r="D185" s="69" t="str">
        <x:v>PRD0095</x:v>
      </x:c>
      <x:c r="E185" s="69" t="str">
        <x:v>Koko Maya Set - Sage (S)</x:v>
      </x:c>
      <x:c r="F185" s="69" t="str">
        <x:v>Sage</x:v>
      </x:c>
      <x:c r="G185" s="69" t="str">
        <x:v>S</x:v>
      </x:c>
      <x:c r="H185" s="84" t="n">
        <x:v>395000</x:v>
      </x:c>
      <x:c r="I185" s="90" t="n">
        <x:v>1</x:v>
      </x:c>
      <x:c r="J185" s="69" t="str">
        <x:f>IF(I185&lt;=0,"Habis",IF(I185&lt;=2,"Stok Terbatas","Tersedia"))</x:f>
        <x:v>Stok Terbatas</x:v>
      </x:c>
      <x:c r="K185" s="69" t="str">
        <x:v>Shirt</x:v>
      </x:c>
      <x:c r="L185" s="69" t="str">
        <x:v>Aktif</x:v>
      </x:c>
      <x:c r="M185" s="70" t="str"/>
    </x:row>
    <x:row r="186">
      <x:c r="A186" s="96" t="str">
        <x:v>10M32362XX3</x:v>
      </x:c>
      <x:c r="B186" s="102" t="n">
        <x:v>10</x:v>
      </x:c>
      <x:c r="C186" s="108" t="str">
        <x:v>JINGGA SCARVES</x:v>
      </x:c>
      <x:c r="D186" s="69" t="str">
        <x:v>PRD0096</x:v>
      </x:c>
      <x:c r="E186" s="69" t="str">
        <x:v>Milda Top - Lily (L)</x:v>
      </x:c>
      <x:c r="F186" s="69" t="str">
        <x:v>Lily</x:v>
      </x:c>
      <x:c r="G186" s="69" t="str">
        <x:v>L</x:v>
      </x:c>
      <x:c r="H186" s="84" t="n">
        <x:v>355000</x:v>
      </x:c>
      <x:c r="I186" s="90" t="n">
        <x:v>1</x:v>
      </x:c>
      <x:c r="J186" s="69" t="str">
        <x:f>IF(I186&lt;=0,"Habis",IF(I186&lt;=2,"Stok Terbatas","Tersedia"))</x:f>
        <x:v>Stok Terbatas</x:v>
      </x:c>
      <x:c r="K186" s="69" t="str">
        <x:v>Shirt</x:v>
      </x:c>
      <x:c r="L186" s="69" t="str">
        <x:v>Aktif</x:v>
      </x:c>
      <x:c r="M186" s="70" t="str"/>
    </x:row>
    <x:row r="187">
      <x:c r="A187" s="96" t="str">
        <x:v>10M32361XX2</x:v>
      </x:c>
      <x:c r="B187" s="102" t="n">
        <x:v>10</x:v>
      </x:c>
      <x:c r="C187" s="108" t="str">
        <x:v>JINGGA SCARVES</x:v>
      </x:c>
      <x:c r="D187" s="69" t="str">
        <x:v>PRD0096</x:v>
      </x:c>
      <x:c r="E187" s="69" t="str">
        <x:v>Milda Top - Lily (M)</x:v>
      </x:c>
      <x:c r="F187" s="69" t="str">
        <x:v>Lily</x:v>
      </x:c>
      <x:c r="G187" s="69" t="str">
        <x:v>M</x:v>
      </x:c>
      <x:c r="H187" s="84" t="n">
        <x:v>355000</x:v>
      </x:c>
      <x:c r="I187" s="90" t="n">
        <x:v>1</x:v>
      </x:c>
      <x:c r="J187" s="69" t="str">
        <x:f>IF(I187&lt;=0,"Habis",IF(I187&lt;=2,"Stok Terbatas","Tersedia"))</x:f>
        <x:v>Stok Terbatas</x:v>
      </x:c>
      <x:c r="K187" s="69" t="str">
        <x:v>Shirt</x:v>
      </x:c>
      <x:c r="L187" s="69" t="str">
        <x:v>Aktif</x:v>
      </x:c>
      <x:c r="M187" s="70" t="str"/>
    </x:row>
    <x:row r="188">
      <x:c r="A188" s="96" t="str">
        <x:v>10M32363XX4</x:v>
      </x:c>
      <x:c r="B188" s="102" t="n">
        <x:v>10</x:v>
      </x:c>
      <x:c r="C188" s="108" t="str">
        <x:v>JINGGA SCARVES</x:v>
      </x:c>
      <x:c r="D188" s="69" t="str">
        <x:v>PRD0096</x:v>
      </x:c>
      <x:c r="E188" s="69" t="str">
        <x:v>Milda Top - Lily (S)</x:v>
      </x:c>
      <x:c r="F188" s="69" t="str">
        <x:v>Lily</x:v>
      </x:c>
      <x:c r="G188" s="69" t="str">
        <x:v>S</x:v>
      </x:c>
      <x:c r="H188" s="84" t="n">
        <x:v>355000</x:v>
      </x:c>
      <x:c r="I188" s="90" t="n">
        <x:v>3</x:v>
      </x:c>
      <x:c r="J188" s="69" t="str">
        <x:f>IF(I188&lt;=0,"Habis",IF(I188&lt;=2,"Stok Terbatas","Tersedia"))</x:f>
        <x:v>Tersedia</x:v>
      </x:c>
      <x:c r="K188" s="69" t="str">
        <x:v>Shirt</x:v>
      </x:c>
      <x:c r="L188" s="69" t="str">
        <x:v>Aktif</x:v>
      </x:c>
      <x:c r="M188" s="70" t="str"/>
    </x:row>
    <x:row r="189">
      <x:c r="A189" s="96" t="str">
        <x:v>10M32353XX3</x:v>
      </x:c>
      <x:c r="B189" s="102" t="n">
        <x:v>10</x:v>
      </x:c>
      <x:c r="C189" s="108" t="str">
        <x:v>JINGGA SCARVES</x:v>
      </x:c>
      <x:c r="D189" s="69" t="str">
        <x:v>PRD0096</x:v>
      </x:c>
      <x:c r="E189" s="69" t="str">
        <x:v>Milda Top - Mauve (L)</x:v>
      </x:c>
      <x:c r="F189" s="69" t="str">
        <x:v>Mauve</x:v>
      </x:c>
      <x:c r="G189" s="69" t="str">
        <x:v>L</x:v>
      </x:c>
      <x:c r="H189" s="84" t="n">
        <x:v>355000</x:v>
      </x:c>
      <x:c r="I189" s="90" t="n">
        <x:v>1</x:v>
      </x:c>
      <x:c r="J189" s="69" t="str">
        <x:f>IF(I189&lt;=0,"Habis",IF(I189&lt;=2,"Stok Terbatas","Tersedia"))</x:f>
        <x:v>Stok Terbatas</x:v>
      </x:c>
      <x:c r="K189" s="69" t="str">
        <x:v>Shirt</x:v>
      </x:c>
      <x:c r="L189" s="69" t="str">
        <x:v>Aktif</x:v>
      </x:c>
      <x:c r="M189" s="70" t="str"/>
    </x:row>
    <x:row r="190">
      <x:c r="A190" s="96" t="str">
        <x:v>10M32352XX2</x:v>
      </x:c>
      <x:c r="B190" s="102" t="n">
        <x:v>10</x:v>
      </x:c>
      <x:c r="C190" s="108" t="str">
        <x:v>JINGGA SCARVES</x:v>
      </x:c>
      <x:c r="D190" s="69" t="str">
        <x:v>PRD0096</x:v>
      </x:c>
      <x:c r="E190" s="69" t="str">
        <x:v>Milda Top - Mauve (M)</x:v>
      </x:c>
      <x:c r="F190" s="69" t="str">
        <x:v>Mauve</x:v>
      </x:c>
      <x:c r="G190" s="69" t="str">
        <x:v>M</x:v>
      </x:c>
      <x:c r="H190" s="84" t="n">
        <x:v>355000</x:v>
      </x:c>
      <x:c r="I190" s="90" t="n">
        <x:v>1</x:v>
      </x:c>
      <x:c r="J190" s="69" t="str">
        <x:f>IF(I190&lt;=0,"Habis",IF(I190&lt;=2,"Stok Terbatas","Tersedia"))</x:f>
        <x:v>Stok Terbatas</x:v>
      </x:c>
      <x:c r="K190" s="69" t="str">
        <x:v>Shirt</x:v>
      </x:c>
      <x:c r="L190" s="69" t="str">
        <x:v>Aktif</x:v>
      </x:c>
      <x:c r="M190" s="70" t="str"/>
    </x:row>
    <x:row r="191">
      <x:c r="A191" s="96" t="str">
        <x:v>10M32358XX2</x:v>
      </x:c>
      <x:c r="B191" s="102" t="n">
        <x:v>10</x:v>
      </x:c>
      <x:c r="C191" s="108" t="str">
        <x:v>JINGGA SCARVES</x:v>
      </x:c>
      <x:c r="D191" s="69" t="str">
        <x:v>PRD0096</x:v>
      </x:c>
      <x:c r="E191" s="69" t="str">
        <x:v>Milda Top - Shappire (M)</x:v>
      </x:c>
      <x:c r="F191" s="69" t="str">
        <x:v>Shappire</x:v>
      </x:c>
      <x:c r="G191" s="69" t="str">
        <x:v>M</x:v>
      </x:c>
      <x:c r="H191" s="84" t="n">
        <x:v>355000</x:v>
      </x:c>
      <x:c r="I191" s="90" t="n">
        <x:v>1</x:v>
      </x:c>
      <x:c r="J191" s="69" t="str">
        <x:f>IF(I191&lt;=0,"Habis",IF(I191&lt;=2,"Stok Terbatas","Tersedia"))</x:f>
        <x:v>Stok Terbatas</x:v>
      </x:c>
      <x:c r="K191" s="69" t="str">
        <x:v>Shirt</x:v>
      </x:c>
      <x:c r="L191" s="69" t="str">
        <x:v>Aktif</x:v>
      </x:c>
      <x:c r="M191" s="70" t="str"/>
    </x:row>
    <x:row r="192">
      <x:c r="A192" s="96" t="str">
        <x:v>10M32356XX3</x:v>
      </x:c>
      <x:c r="B192" s="102" t="n">
        <x:v>10</x:v>
      </x:c>
      <x:c r="C192" s="108" t="str">
        <x:v>JINGGA SCARVES</x:v>
      </x:c>
      <x:c r="D192" s="69" t="str">
        <x:v>PRD0096</x:v>
      </x:c>
      <x:c r="E192" s="69" t="str">
        <x:v>Milda Top - Sky Blue (L)</x:v>
      </x:c>
      <x:c r="F192" s="69" t="str">
        <x:v>Sky Blue</x:v>
      </x:c>
      <x:c r="G192" s="69" t="str">
        <x:v>L</x:v>
      </x:c>
      <x:c r="H192" s="84" t="n">
        <x:v>355000</x:v>
      </x:c>
      <x:c r="I192" s="90" t="n">
        <x:v>1</x:v>
      </x:c>
      <x:c r="J192" s="69" t="str">
        <x:f>IF(I192&lt;=0,"Habis",IF(I192&lt;=2,"Stok Terbatas","Tersedia"))</x:f>
        <x:v>Stok Terbatas</x:v>
      </x:c>
      <x:c r="K192" s="69" t="str">
        <x:v>Shirt</x:v>
      </x:c>
      <x:c r="L192" s="69" t="str">
        <x:v>Aktif</x:v>
      </x:c>
      <x:c r="M192" s="70" t="str"/>
    </x:row>
    <x:row r="193">
      <x:c r="A193" s="96" t="str">
        <x:v>10M32355XX2</x:v>
      </x:c>
      <x:c r="B193" s="102" t="n">
        <x:v>10</x:v>
      </x:c>
      <x:c r="C193" s="108" t="str">
        <x:v>JINGGA SCARVES</x:v>
      </x:c>
      <x:c r="D193" s="69" t="str">
        <x:v>PRD0096</x:v>
      </x:c>
      <x:c r="E193" s="69" t="str">
        <x:v>Milda Top - Sky Blue (M)</x:v>
      </x:c>
      <x:c r="F193" s="69" t="str">
        <x:v>Sky Blue</x:v>
      </x:c>
      <x:c r="G193" s="69" t="str">
        <x:v>M</x:v>
      </x:c>
      <x:c r="H193" s="84" t="n">
        <x:v>355000</x:v>
      </x:c>
      <x:c r="I193" s="90" t="n">
        <x:v>1</x:v>
      </x:c>
      <x:c r="J193" s="69" t="str">
        <x:f>IF(I193&lt;=0,"Habis",IF(I193&lt;=2,"Stok Terbatas","Tersedia"))</x:f>
        <x:v>Stok Terbatas</x:v>
      </x:c>
      <x:c r="K193" s="69" t="str">
        <x:v>Shirt</x:v>
      </x:c>
      <x:c r="L193" s="69" t="str">
        <x:v>Aktif</x:v>
      </x:c>
      <x:c r="M193" s="70" t="str"/>
    </x:row>
    <x:row r="194">
      <x:c r="A194" s="96" t="str">
        <x:v>10M10927XX0</x:v>
      </x:c>
      <x:c r="B194" s="102" t="n">
        <x:v>10</x:v>
      </x:c>
      <x:c r="C194" s="108" t="str">
        <x:v>JINGGA SCARVES</x:v>
      </x:c>
      <x:c r="D194" s="69" t="str">
        <x:v>PRD0091</x:v>
      </x:c>
      <x:c r="E194" s="69" t="str">
        <x:v>Mona Series - Petal</x:v>
      </x:c>
      <x:c r="F194" s="69" t="str">
        <x:v>Petal</x:v>
      </x:c>
      <x:c r="G194" s="69" t="str"/>
      <x:c r="H194" s="84" t="n">
        <x:v>295000</x:v>
      </x:c>
      <x:c r="I194" s="90" t="n">
        <x:v>2</x:v>
      </x:c>
      <x:c r="J194" s="69" t="str">
        <x:f>IF(I194&lt;=0,"Habis",IF(I194&lt;=2,"Stok Terbatas","Tersedia"))</x:f>
        <x:v>Stok Terbatas</x:v>
      </x:c>
      <x:c r="K194" s="69" t="str">
        <x:v>Hijab</x:v>
      </x:c>
      <x:c r="L194" s="69" t="str">
        <x:v>Aktif</x:v>
      </x:c>
      <x:c r="M194" s="70" t="str"/>
    </x:row>
    <x:row r="195">
      <x:c r="A195" s="96" t="str">
        <x:v>10M10762XX0</x:v>
      </x:c>
      <x:c r="B195" s="102" t="n">
        <x:v>10</x:v>
      </x:c>
      <x:c r="C195" s="108" t="str">
        <x:v>JINGGA SCARVES</x:v>
      </x:c>
      <x:c r="D195" s="69" t="str">
        <x:v>PRD0092</x:v>
      </x:c>
      <x:c r="E195" s="69" t="str">
        <x:v>Paris Original Japan - Dark Purple</x:v>
      </x:c>
      <x:c r="F195" s="69" t="str">
        <x:v>Dark Purple</x:v>
      </x:c>
      <x:c r="G195" s="69" t="str"/>
      <x:c r="H195" s="84" t="n">
        <x:v>185000</x:v>
      </x:c>
      <x:c r="I195" s="90" t="n">
        <x:v>2</x:v>
      </x:c>
      <x:c r="J195" s="69" t="str">
        <x:f>IF(I195&lt;=0,"Habis",IF(I195&lt;=2,"Stok Terbatas","Tersedia"))</x:f>
        <x:v>Stok Terbatas</x:v>
      </x:c>
      <x:c r="K195" s="69" t="str">
        <x:v>Hijab</x:v>
      </x:c>
      <x:c r="L195" s="69" t="str">
        <x:v>Aktif</x:v>
      </x:c>
      <x:c r="M195" s="70" t="str"/>
    </x:row>
    <x:row r="196">
      <x:c r="A196" s="96" t="str">
        <x:v>10M152795XX0</x:v>
      </x:c>
      <x:c r="B196" s="102" t="n">
        <x:v>10</x:v>
      </x:c>
      <x:c r="C196" s="108" t="str">
        <x:v>JINGGA SCARVES</x:v>
      </x:c>
      <x:c r="D196" s="69" t="str">
        <x:v>PRD0088</x:v>
      </x:c>
      <x:c r="E196" s="69" t="str">
        <x:v>Queen Bag - Black</x:v>
      </x:c>
      <x:c r="F196" s="69" t="str">
        <x:v>Black</x:v>
      </x:c>
      <x:c r="G196" s="69" t="str"/>
      <x:c r="H196" s="84" t="n">
        <x:v>395000</x:v>
      </x:c>
      <x:c r="I196" s="90" t="n">
        <x:v>1</x:v>
      </x:c>
      <x:c r="J196" s="69" t="str">
        <x:f>IF(I196&lt;=0,"Habis",IF(I196&lt;=2,"Stok Terbatas","Tersedia"))</x:f>
        <x:v>Stok Terbatas</x:v>
      </x:c>
      <x:c r="K196" s="69" t="str">
        <x:v>Bag</x:v>
      </x:c>
      <x:c r="L196" s="69" t="str">
        <x:v>Aktif</x:v>
      </x:c>
      <x:c r="M196" s="70" t="str"/>
    </x:row>
    <x:row r="197">
      <x:c r="A197" s="96" t="str">
        <x:v>10M11371XX0</x:v>
      </x:c>
      <x:c r="B197" s="102" t="n">
        <x:v>10</x:v>
      </x:c>
      <x:c r="C197" s="108" t="str">
        <x:v>JINGGA SCARVES</x:v>
      </x:c>
      <x:c r="D197" s="69" t="str">
        <x:v>PRD0093</x:v>
      </x:c>
      <x:c r="E197" s="69" t="str">
        <x:v>Rangea Series - Taupe</x:v>
      </x:c>
      <x:c r="F197" s="69" t="str">
        <x:v>Taupe</x:v>
      </x:c>
      <x:c r="G197" s="69" t="str"/>
      <x:c r="H197" s="84" t="n">
        <x:v>295000</x:v>
      </x:c>
      <x:c r="I197" s="90" t="n">
        <x:v>1</x:v>
      </x:c>
      <x:c r="J197" s="69" t="str">
        <x:f>IF(I197&lt;=0,"Habis",IF(I197&lt;=2,"Stok Terbatas","Tersedia"))</x:f>
        <x:v>Stok Terbatas</x:v>
      </x:c>
      <x:c r="K197" s="69" t="str">
        <x:v>Hijab</x:v>
      </x:c>
      <x:c r="L197" s="69" t="str">
        <x:v>Aktif</x:v>
      </x:c>
      <x:c r="M197" s="70" t="str"/>
    </x:row>
    <x:row r="198">
      <x:c r="A198" s="96" t="str">
        <x:v>10M21734XX3</x:v>
      </x:c>
      <x:c r="B198" s="102" t="n">
        <x:v>10</x:v>
      </x:c>
      <x:c r="C198" s="108" t="str">
        <x:v>JINGGA SCARVES</x:v>
      </x:c>
      <x:c r="D198" s="69" t="str">
        <x:v>PRD0089</x:v>
      </x:c>
      <x:c r="E198" s="69" t="str">
        <x:v>Raya Dress - Nude (L)</x:v>
      </x:c>
      <x:c r="F198" s="69" t="str">
        <x:v>Nude</x:v>
      </x:c>
      <x:c r="G198" s="69" t="str">
        <x:v>L</x:v>
      </x:c>
      <x:c r="H198" s="84" t="n">
        <x:v>595000</x:v>
      </x:c>
      <x:c r="I198" s="90" t="n">
        <x:v>1</x:v>
      </x:c>
      <x:c r="J198" s="69" t="str">
        <x:f>IF(I198&lt;=0,"Habis",IF(I198&lt;=2,"Stok Terbatas","Tersedia"))</x:f>
        <x:v>Stok Terbatas</x:v>
      </x:c>
      <x:c r="K198" s="69" t="str">
        <x:v>Dress</x:v>
      </x:c>
      <x:c r="L198" s="69" t="str">
        <x:v>Aktif</x:v>
      </x:c>
      <x:c r="M198" s="70" t="str"/>
    </x:row>
    <x:row r="199">
      <x:c r="A199" s="96" t="str">
        <x:v>10M21735XX4</x:v>
      </x:c>
      <x:c r="B199" s="102" t="n">
        <x:v>10</x:v>
      </x:c>
      <x:c r="C199" s="108" t="str">
        <x:v>JINGGA SCARVES</x:v>
      </x:c>
      <x:c r="D199" s="69" t="str">
        <x:v>PRD0089</x:v>
      </x:c>
      <x:c r="E199" s="69" t="str">
        <x:v>Raya Dress - Nude (XL)</x:v>
      </x:c>
      <x:c r="F199" s="69" t="str">
        <x:v>Nude</x:v>
      </x:c>
      <x:c r="G199" s="69" t="str">
        <x:v>XL</x:v>
      </x:c>
      <x:c r="H199" s="84" t="n">
        <x:v>595000</x:v>
      </x:c>
      <x:c r="I199" s="90" t="n">
        <x:v>3</x:v>
      </x:c>
      <x:c r="J199" s="69" t="str">
        <x:f>IF(I199&lt;=0,"Habis",IF(I199&lt;=2,"Stok Terbatas","Tersedia"))</x:f>
        <x:v>Tersedia</x:v>
      </x:c>
      <x:c r="K199" s="69" t="str">
        <x:v>Dress</x:v>
      </x:c>
      <x:c r="L199" s="69" t="str">
        <x:v>Aktif</x:v>
      </x:c>
      <x:c r="M199" s="70" t="str"/>
    </x:row>
    <x:row r="200">
      <x:c r="A200" s="96" t="str">
        <x:v>10M22766XX1</x:v>
      </x:c>
      <x:c r="B200" s="102" t="n">
        <x:v>10</x:v>
      </x:c>
      <x:c r="C200" s="108" t="str">
        <x:v>JINGGA SCARVES</x:v>
      </x:c>
      <x:c r="D200" s="69" t="str">
        <x:v>PRD0090</x:v>
      </x:c>
      <x:c r="E200" s="69" t="str">
        <x:v>Raya Sarimbit Dress - Anak Mocca (S)</x:v>
      </x:c>
      <x:c r="F200" s="69" t="str">
        <x:v>Anak Mocca</x:v>
      </x:c>
      <x:c r="G200" s="69" t="str">
        <x:v>S</x:v>
      </x:c>
      <x:c r="H200" s="84" t="n">
        <x:v>555000</x:v>
      </x:c>
      <x:c r="I200" s="90" t="n">
        <x:v>1</x:v>
      </x:c>
      <x:c r="J200" s="69" t="str">
        <x:f>IF(I200&lt;=0,"Habis",IF(I200&lt;=2,"Stok Terbatas","Tersedia"))</x:f>
        <x:v>Stok Terbatas</x:v>
      </x:c>
      <x:c r="K200" s="69" t="str">
        <x:v>Dress</x:v>
      </x:c>
      <x:c r="L200" s="69" t="str">
        <x:v>Aktif</x:v>
      </x:c>
      <x:c r="M200" s="70" t="str"/>
    </x:row>
    <x:row r="201">
      <x:c r="A201" s="96" t="str">
        <x:v>10M32777XY3</x:v>
      </x:c>
      <x:c r="B201" s="102" t="n">
        <x:v>10</x:v>
      </x:c>
      <x:c r="C201" s="108" t="str">
        <x:v>JINGGA SCARVES</x:v>
      </x:c>
      <x:c r="D201" s="69" t="str">
        <x:v>PRD0097</x:v>
      </x:c>
      <x:c r="E201" s="69" t="str">
        <x:v>Raya Sarimbit Koko Anak - Ivory (L)</x:v>
      </x:c>
      <x:c r="F201" s="69" t="str">
        <x:v>Ivory</x:v>
      </x:c>
      <x:c r="G201" s="69" t="str">
        <x:v>L</x:v>
      </x:c>
      <x:c r="H201" s="84" t="n">
        <x:v>345000</x:v>
      </x:c>
      <x:c r="I201" s="90" t="n">
        <x:v>1</x:v>
      </x:c>
      <x:c r="J201" s="69" t="str">
        <x:f>IF(I201&lt;=0,"Habis",IF(I201&lt;=2,"Stok Terbatas","Tersedia"))</x:f>
        <x:v>Stok Terbatas</x:v>
      </x:c>
      <x:c r="K201" s="69" t="str">
        <x:v>Shirt</x:v>
      </x:c>
      <x:c r="L201" s="69" t="str">
        <x:v>Aktif</x:v>
      </x:c>
      <x:c r="M201" s="70" t="str"/>
    </x:row>
    <x:row r="202">
      <x:c r="A202" s="96" t="str">
        <x:v>10M32776XY2</x:v>
      </x:c>
      <x:c r="B202" s="102" t="n">
        <x:v>10</x:v>
      </x:c>
      <x:c r="C202" s="108" t="str">
        <x:v>JINGGA SCARVES</x:v>
      </x:c>
      <x:c r="D202" s="69" t="str">
        <x:v>PRD0097</x:v>
      </x:c>
      <x:c r="E202" s="69" t="str">
        <x:v>Raya Sarimbit Koko Anak - Ivory (M)</x:v>
      </x:c>
      <x:c r="F202" s="69" t="str">
        <x:v>Ivory</x:v>
      </x:c>
      <x:c r="G202" s="69" t="str">
        <x:v>M</x:v>
      </x:c>
      <x:c r="H202" s="84" t="n">
        <x:v>345000</x:v>
      </x:c>
      <x:c r="I202" s="90" t="n">
        <x:v>1</x:v>
      </x:c>
      <x:c r="J202" s="69" t="str">
        <x:f>IF(I202&lt;=0,"Habis",IF(I202&lt;=2,"Stok Terbatas","Tersedia"))</x:f>
        <x:v>Stok Terbatas</x:v>
      </x:c>
      <x:c r="K202" s="69" t="str">
        <x:v>Shirt</x:v>
      </x:c>
      <x:c r="L202" s="69" t="str">
        <x:v>Aktif</x:v>
      </x:c>
      <x:c r="M202" s="70" t="str"/>
    </x:row>
    <x:row r="203">
      <x:c r="A203" s="96" t="str">
        <x:v>10M32775XY4</x:v>
      </x:c>
      <x:c r="B203" s="102" t="n">
        <x:v>10</x:v>
      </x:c>
      <x:c r="C203" s="108" t="str">
        <x:v>JINGGA SCARVES</x:v>
      </x:c>
      <x:c r="D203" s="69" t="str">
        <x:v>PRD0097</x:v>
      </x:c>
      <x:c r="E203" s="69" t="str">
        <x:v>Raya Sarimbit Koko Anak - Ivory (XL)</x:v>
      </x:c>
      <x:c r="F203" s="69" t="str">
        <x:v>Ivory</x:v>
      </x:c>
      <x:c r="G203" s="69" t="str">
        <x:v>XL</x:v>
      </x:c>
      <x:c r="H203" s="84" t="n">
        <x:v>345000</x:v>
      </x:c>
      <x:c r="I203" s="90" t="n">
        <x:v>1</x:v>
      </x:c>
      <x:c r="J203" s="69" t="str">
        <x:f>IF(I203&lt;=0,"Habis",IF(I203&lt;=2,"Stok Terbatas","Tersedia"))</x:f>
        <x:v>Stok Terbatas</x:v>
      </x:c>
      <x:c r="K203" s="69" t="str">
        <x:v>Shirt</x:v>
      </x:c>
      <x:c r="L203" s="69" t="str">
        <x:v>Aktif</x:v>
      </x:c>
      <x:c r="M203" s="70" t="str"/>
    </x:row>
    <x:row r="204">
      <x:c r="A204" s="96" t="str">
        <x:v>10M32781XY3</x:v>
      </x:c>
      <x:c r="B204" s="102" t="n">
        <x:v>10</x:v>
      </x:c>
      <x:c r="C204" s="108" t="str">
        <x:v>JINGGA SCARVES</x:v>
      </x:c>
      <x:c r="D204" s="69" t="str">
        <x:v>PRD0097</x:v>
      </x:c>
      <x:c r="E204" s="69" t="str">
        <x:v>Raya Sarimbit Koko Anak - Mocca (L)</x:v>
      </x:c>
      <x:c r="F204" s="69" t="str">
        <x:v>Mocca</x:v>
      </x:c>
      <x:c r="G204" s="69" t="str">
        <x:v>L</x:v>
      </x:c>
      <x:c r="H204" s="84" t="n">
        <x:v>345000</x:v>
      </x:c>
      <x:c r="I204" s="90" t="n">
        <x:v>1</x:v>
      </x:c>
      <x:c r="J204" s="69" t="str">
        <x:f>IF(I204&lt;=0,"Habis",IF(I204&lt;=2,"Stok Terbatas","Tersedia"))</x:f>
        <x:v>Stok Terbatas</x:v>
      </x:c>
      <x:c r="K204" s="69" t="str">
        <x:v>Shirt</x:v>
      </x:c>
      <x:c r="L204" s="69" t="str">
        <x:v>Aktif</x:v>
      </x:c>
      <x:c r="M204" s="70" t="str"/>
    </x:row>
    <x:row r="205">
      <x:c r="A205" s="96" t="str">
        <x:v>10M32782XY4</x:v>
      </x:c>
      <x:c r="B205" s="102" t="n">
        <x:v>10</x:v>
      </x:c>
      <x:c r="C205" s="108" t="str">
        <x:v>JINGGA SCARVES</x:v>
      </x:c>
      <x:c r="D205" s="69" t="str">
        <x:v>PRD0097</x:v>
      </x:c>
      <x:c r="E205" s="69" t="str">
        <x:v>Raya Sarimbit Koko Anak - Mocca (XL)</x:v>
      </x:c>
      <x:c r="F205" s="69" t="str">
        <x:v>Mocca</x:v>
      </x:c>
      <x:c r="G205" s="69" t="str">
        <x:v>XL</x:v>
      </x:c>
      <x:c r="H205" s="84" t="n">
        <x:v>345000</x:v>
      </x:c>
      <x:c r="I205" s="90" t="n">
        <x:v>1</x:v>
      </x:c>
      <x:c r="J205" s="69" t="str">
        <x:f>IF(I205&lt;=0,"Habis",IF(I205&lt;=2,"Stok Terbatas","Tersedia"))</x:f>
        <x:v>Stok Terbatas</x:v>
      </x:c>
      <x:c r="K205" s="69" t="str">
        <x:v>Shirt</x:v>
      </x:c>
      <x:c r="L205" s="69" t="str">
        <x:v>Aktif</x:v>
      </x:c>
      <x:c r="M205" s="70" t="str"/>
    </x:row>
    <x:row r="206">
      <x:c r="A206" s="96" t="str">
        <x:v>11M51000XX0</x:v>
      </x:c>
      <x:c r="B206" s="102" t="n">
        <x:v>11</x:v>
      </x:c>
      <x:c r="C206" s="108" t="str">
        <x:v>NABNIB</x:v>
      </x:c>
      <x:c r="D206" s="69" t="str">
        <x:v>PRD0098</x:v>
      </x:c>
      <x:c r="E206" s="69" t="str">
        <x:v>Candy Klip</x:v>
      </x:c>
      <x:c r="F206" s="69" t="str"/>
      <x:c r="G206" s="69" t="str"/>
      <x:c r="H206" s="84" t="n">
        <x:v>30000</x:v>
      </x:c>
      <x:c r="I206" s="90" t="n">
        <x:v>11</x:v>
      </x:c>
      <x:c r="J206" s="69" t="str">
        <x:f>IF(I206&lt;=0,"Habis",IF(I206&lt;=2,"Stok Terbatas","Tersedia"))</x:f>
        <x:v>Tersedia</x:v>
      </x:c>
      <x:c r="K206" s="69" t="str">
        <x:v>Aksesoris</x:v>
      </x:c>
      <x:c r="L206" s="69" t="str">
        <x:v>Aktif</x:v>
      </x:c>
      <x:c r="M206" s="70" t="str"/>
    </x:row>
    <x:row r="207">
      <x:c r="A207" s="96" t="str">
        <x:v>11M50981XX0</x:v>
      </x:c>
      <x:c r="B207" s="102" t="n">
        <x:v>11</x:v>
      </x:c>
      <x:c r="C207" s="108" t="str">
        <x:v>NABNIB</x:v>
      </x:c>
      <x:c r="D207" s="69" t="str">
        <x:v>PRD0099</x:v>
      </x:c>
      <x:c r="E207" s="69" t="str">
        <x:v>Kaos Kaki Europ - Dark Grey</x:v>
      </x:c>
      <x:c r="F207" s="69" t="str">
        <x:v>Dark Grey</x:v>
      </x:c>
      <x:c r="G207" s="69" t="str"/>
      <x:c r="H207" s="84" t="n">
        <x:v>52000</x:v>
      </x:c>
      <x:c r="I207" s="90" t="n">
        <x:v>1</x:v>
      </x:c>
      <x:c r="J207" s="69" t="str">
        <x:f>IF(I207&lt;=0,"Habis",IF(I207&lt;=2,"Stok Terbatas","Tersedia"))</x:f>
        <x:v>Stok Terbatas</x:v>
      </x:c>
      <x:c r="K207" s="69" t="str">
        <x:v>Aksesoris</x:v>
      </x:c>
      <x:c r="L207" s="69" t="str">
        <x:v>Aktif</x:v>
      </x:c>
      <x:c r="M207" s="70" t="str"/>
    </x:row>
    <x:row r="208">
      <x:c r="A208" s="96" t="str">
        <x:v>11M50983XX0</x:v>
      </x:c>
      <x:c r="B208" s="102" t="n">
        <x:v>11</x:v>
      </x:c>
      <x:c r="C208" s="108" t="str">
        <x:v>NABNIB</x:v>
      </x:c>
      <x:c r="D208" s="69" t="str">
        <x:v>PRD0099</x:v>
      </x:c>
      <x:c r="E208" s="69" t="str">
        <x:v>Kaos Kaki Europ - White</x:v>
      </x:c>
      <x:c r="F208" s="69" t="str">
        <x:v>White</x:v>
      </x:c>
      <x:c r="G208" s="69" t="str"/>
      <x:c r="H208" s="84" t="n">
        <x:v>52000</x:v>
      </x:c>
      <x:c r="I208" s="90" t="n">
        <x:v>2</x:v>
      </x:c>
      <x:c r="J208" s="69" t="str">
        <x:f>IF(I208&lt;=0,"Habis",IF(I208&lt;=2,"Stok Terbatas","Tersedia"))</x:f>
        <x:v>Stok Terbatas</x:v>
      </x:c>
      <x:c r="K208" s="69" t="str">
        <x:v>Aksesoris</x:v>
      </x:c>
      <x:c r="L208" s="69" t="str">
        <x:v>Aktif</x:v>
      </x:c>
      <x:c r="M208" s="70" t="str"/>
    </x:row>
    <x:row r="209">
      <x:c r="A209" s="96" t="str">
        <x:v>11M51312XX0</x:v>
      </x:c>
      <x:c r="B209" s="102" t="n">
        <x:v>11</x:v>
      </x:c>
      <x:c r="C209" s="108" t="str">
        <x:v>NABNIB</x:v>
      </x:c>
      <x:c r="D209" s="69" t="str">
        <x:v>PRD0100</x:v>
      </x:c>
      <x:c r="E209" s="69" t="str">
        <x:v>Marocan Ciput (Light Brown)</x:v>
      </x:c>
      <x:c r="F209" s="69" t="str">
        <x:v>Light Brown</x:v>
      </x:c>
      <x:c r="G209" s="69" t="str"/>
      <x:c r="H209" s="84" t="n">
        <x:v>49900</x:v>
      </x:c>
      <x:c r="I209" s="90" t="n">
        <x:v>1</x:v>
      </x:c>
      <x:c r="J209" s="69" t="str">
        <x:f>IF(I209&lt;=0,"Habis",IF(I209&lt;=2,"Stok Terbatas","Tersedia"))</x:f>
        <x:v>Stok Terbatas</x:v>
      </x:c>
      <x:c r="K209" s="69" t="str">
        <x:v>Aksesoris</x:v>
      </x:c>
      <x:c r="L209" s="69" t="str">
        <x:v>Aktif</x:v>
      </x:c>
      <x:c r="M209" s="70" t="str"/>
    </x:row>
    <x:row r="210">
      <x:c r="A210" s="96" t="str">
        <x:v>11M51295XX0</x:v>
      </x:c>
      <x:c r="B210" s="102" t="n">
        <x:v>11</x:v>
      </x:c>
      <x:c r="C210" s="108" t="str">
        <x:v>NABNIB</x:v>
      </x:c>
      <x:c r="D210" s="69" t="str">
        <x:v>PRD0101</x:v>
      </x:c>
      <x:c r="E210" s="69" t="str">
        <x:v>Sila Ciput Ninja Premium (Light Brown)</x:v>
      </x:c>
      <x:c r="F210" s="69" t="str">
        <x:v>Light Brown</x:v>
      </x:c>
      <x:c r="G210" s="69" t="str"/>
      <x:c r="H210" s="84" t="n">
        <x:v>45000</x:v>
      </x:c>
      <x:c r="I210" s="90" t="n">
        <x:v>2</x:v>
      </x:c>
      <x:c r="J210" s="69" t="str">
        <x:f>IF(I210&lt;=0,"Habis",IF(I210&lt;=2,"Stok Terbatas","Tersedia"))</x:f>
        <x:v>Stok Terbatas</x:v>
      </x:c>
      <x:c r="K210" s="69" t="str">
        <x:v>Aksesoris</x:v>
      </x:c>
      <x:c r="L210" s="69" t="str">
        <x:v>Aktif</x:v>
      </x:c>
      <x:c r="M210" s="70" t="str"/>
    </x:row>
    <x:row r="211">
      <x:c r="A211" s="96" t="str">
        <x:v>11M51302XX0</x:v>
      </x:c>
      <x:c r="B211" s="102" t="n">
        <x:v>11</x:v>
      </x:c>
      <x:c r="C211" s="108" t="str">
        <x:v>NABNIB</x:v>
      </x:c>
      <x:c r="D211" s="69" t="str">
        <x:v>PRD0101</x:v>
      </x:c>
      <x:c r="E211" s="69" t="str">
        <x:v>Sila Ciput Ninja Premium (Off White)</x:v>
      </x:c>
      <x:c r="F211" s="69" t="str">
        <x:v>Off White</x:v>
      </x:c>
      <x:c r="G211" s="69" t="str"/>
      <x:c r="H211" s="84" t="n">
        <x:v>45000</x:v>
      </x:c>
      <x:c r="I211" s="90" t="n">
        <x:v>1</x:v>
      </x:c>
      <x:c r="J211" s="69" t="str">
        <x:f>IF(I211&lt;=0,"Habis",IF(I211&lt;=2,"Stok Terbatas","Tersedia"))</x:f>
        <x:v>Stok Terbatas</x:v>
      </x:c>
      <x:c r="K211" s="69" t="str">
        <x:v>Aksesoris</x:v>
      </x:c>
      <x:c r="L211" s="69" t="str">
        <x:v>Aktif</x:v>
      </x:c>
      <x:c r="M211" s="70" t="str"/>
    </x:row>
    <x:row r="212">
      <x:c r="A212" s="96" t="str">
        <x:v>11M12493XX0</x:v>
      </x:c>
      <x:c r="B212" s="102" t="n">
        <x:v>11</x:v>
      </x:c>
      <x:c r="C212" s="108" t="str">
        <x:v>NABNIB</x:v>
      </x:c>
      <x:c r="D212" s="69" t="str">
        <x:v>PRD0102</x:v>
      </x:c>
      <x:c r="E212" s="69" t="str">
        <x:v>Yola Voal Premium - Pink Camelia</x:v>
      </x:c>
      <x:c r="F212" s="69" t="str">
        <x:v>Pink Camelia</x:v>
      </x:c>
      <x:c r="G212" s="69" t="str"/>
      <x:c r="H212" s="84" t="n">
        <x:v>115000</x:v>
      </x:c>
      <x:c r="I212" s="90" t="n">
        <x:v>1</x:v>
      </x:c>
      <x:c r="J212" s="69" t="str">
        <x:f>IF(I212&lt;=0,"Habis",IF(I212&lt;=2,"Stok Terbatas","Tersedia"))</x:f>
        <x:v>Stok Terbatas</x:v>
      </x:c>
      <x:c r="K212" s="69" t="str">
        <x:v>Hijab</x:v>
      </x:c>
      <x:c r="L212" s="69" t="str">
        <x:v>Aktif</x:v>
      </x:c>
      <x:c r="M212" s="70" t="str"/>
    </x:row>
    <x:row r="213">
      <x:c r="A213" s="96" t="str">
        <x:v>12M51987XX0</x:v>
      </x:c>
      <x:c r="B213" s="102" t="n">
        <x:v>12</x:v>
      </x:c>
      <x:c r="C213" s="108" t="str">
        <x:v>NO BRAND</x:v>
      </x:c>
      <x:c r="D213" s="69" t="str">
        <x:v>PRD0103</x:v>
      </x:c>
      <x:c r="E213" s="69" t="str">
        <x:v>Alika Black</x:v>
      </x:c>
      <x:c r="F213" s="69" t="str"/>
      <x:c r="G213" s="69" t="str"/>
      <x:c r="H213" s="84" t="n">
        <x:v>85000</x:v>
      </x:c>
      <x:c r="I213" s="90" t="n">
        <x:v>2</x:v>
      </x:c>
      <x:c r="J213" s="69" t="str">
        <x:f>IF(I213&lt;=0,"Habis",IF(I213&lt;=2,"Stok Terbatas","Tersedia"))</x:f>
        <x:v>Stok Terbatas</x:v>
      </x:c>
      <x:c r="K213" s="69" t="str">
        <x:v>Aksesoris</x:v>
      </x:c>
      <x:c r="L213" s="69" t="str">
        <x:v>Aktif</x:v>
      </x:c>
      <x:c r="M213" s="70" t="str"/>
    </x:row>
    <x:row r="214">
      <x:c r="A214" s="96" t="str">
        <x:v>12M51988XX0</x:v>
      </x:c>
      <x:c r="B214" s="102" t="n">
        <x:v>12</x:v>
      </x:c>
      <x:c r="C214" s="108" t="str">
        <x:v>NO BRAND</x:v>
      </x:c>
      <x:c r="D214" s="69" t="str">
        <x:v>PRD0104</x:v>
      </x:c>
      <x:c r="E214" s="69" t="str">
        <x:v>Alika Jade</x:v>
      </x:c>
      <x:c r="F214" s="69" t="str"/>
      <x:c r="G214" s="69" t="str"/>
      <x:c r="H214" s="84" t="n">
        <x:v>75000</x:v>
      </x:c>
      <x:c r="I214" s="90" t="n">
        <x:v>2</x:v>
      </x:c>
      <x:c r="J214" s="69" t="str">
        <x:f>IF(I214&lt;=0,"Habis",IF(I214&lt;=2,"Stok Terbatas","Tersedia"))</x:f>
        <x:v>Stok Terbatas</x:v>
      </x:c>
      <x:c r="K214" s="69" t="str">
        <x:v>Aksesoris</x:v>
      </x:c>
      <x:c r="L214" s="69" t="str">
        <x:v>Aktif</x:v>
      </x:c>
      <x:c r="M214" s="70" t="str"/>
    </x:row>
    <x:row r="215">
      <x:c r="A215" s="96" t="str">
        <x:v>12M51989XX0</x:v>
      </x:c>
      <x:c r="B215" s="102" t="n">
        <x:v>12</x:v>
      </x:c>
      <x:c r="C215" s="108" t="str">
        <x:v>NO BRAND</x:v>
      </x:c>
      <x:c r="D215" s="69" t="str">
        <x:v>PRD0105</x:v>
      </x:c>
      <x:c r="E215" s="69" t="str">
        <x:v>Alika Mauve</x:v>
      </x:c>
      <x:c r="F215" s="69" t="str"/>
      <x:c r="G215" s="69" t="str"/>
      <x:c r="H215" s="84" t="n">
        <x:v>75000</x:v>
      </x:c>
      <x:c r="I215" s="90" t="n">
        <x:v>1</x:v>
      </x:c>
      <x:c r="J215" s="69" t="str">
        <x:f>IF(I215&lt;=0,"Habis",IF(I215&lt;=2,"Stok Terbatas","Tersedia"))</x:f>
        <x:v>Stok Terbatas</x:v>
      </x:c>
      <x:c r="K215" s="69" t="str">
        <x:v>Aksesoris</x:v>
      </x:c>
      <x:c r="L215" s="69" t="str">
        <x:v>Aktif</x:v>
      </x:c>
      <x:c r="M215" s="70" t="str"/>
    </x:row>
    <x:row r="216">
      <x:c r="A216" s="96" t="str">
        <x:v>12M51517XX0</x:v>
      </x:c>
      <x:c r="B216" s="102" t="n">
        <x:v>12</x:v>
      </x:c>
      <x:c r="C216" s="108" t="str">
        <x:v>NO BRAND</x:v>
      </x:c>
      <x:c r="D216" s="69" t="str">
        <x:v>PRD0106</x:v>
      </x:c>
      <x:c r="E216" s="69" t="str">
        <x:v>Anjani Pink Brooch</x:v>
      </x:c>
      <x:c r="F216" s="69" t="str"/>
      <x:c r="G216" s="69" t="str"/>
      <x:c r="H216" s="84" t="n">
        <x:v>85000</x:v>
      </x:c>
      <x:c r="I216" s="90" t="n">
        <x:v>1</x:v>
      </x:c>
      <x:c r="J216" s="69" t="str">
        <x:f>IF(I216&lt;=0,"Habis",IF(I216&lt;=2,"Stok Terbatas","Tersedia"))</x:f>
        <x:v>Stok Terbatas</x:v>
      </x:c>
      <x:c r="K216" s="69" t="str">
        <x:v>Aksesoris</x:v>
      </x:c>
      <x:c r="L216" s="69" t="str">
        <x:v>Aktif</x:v>
      </x:c>
      <x:c r="M216" s="70" t="str"/>
    </x:row>
    <x:row r="217">
      <x:c r="A217" s="96" t="str">
        <x:v>12M132861XX0</x:v>
      </x:c>
      <x:c r="B217" s="102" t="n">
        <x:v>12</x:v>
      </x:c>
      <x:c r="C217" s="108" t="str">
        <x:v>NO BRAND</x:v>
      </x:c>
      <x:c r="D217" s="69" t="str">
        <x:v>PRD0126</x:v>
      </x:c>
      <x:c r="E217" s="69" t="str">
        <x:v>Barrel Pants - Jet Black</x:v>
      </x:c>
      <x:c r="F217" s="69" t="str">
        <x:v>Jet Black</x:v>
      </x:c>
      <x:c r="G217" s="69" t="str"/>
      <x:c r="H217" s="84" t="n">
        <x:v>215000</x:v>
      </x:c>
      <x:c r="I217" s="90" t="n">
        <x:v>1</x:v>
      </x:c>
      <x:c r="J217" s="69" t="str">
        <x:f>IF(I217&lt;=0,"Habis",IF(I217&lt;=2,"Stok Terbatas","Tersedia"))</x:f>
        <x:v>Stok Terbatas</x:v>
      </x:c>
      <x:c r="K217" s="69" t="str">
        <x:v>Pants</x:v>
      </x:c>
      <x:c r="L217" s="69" t="str">
        <x:v>Aktif</x:v>
      </x:c>
      <x:c r="M217" s="70" t="str"/>
    </x:row>
    <x:row r="218">
      <x:c r="A218" s="96" t="str">
        <x:v>12M132860XX0</x:v>
      </x:c>
      <x:c r="B218" s="102" t="n">
        <x:v>12</x:v>
      </x:c>
      <x:c r="C218" s="108" t="str">
        <x:v>NO BRAND</x:v>
      </x:c>
      <x:c r="D218" s="69" t="str">
        <x:v>PRD0126</x:v>
      </x:c>
      <x:c r="E218" s="69" t="str">
        <x:v>Barrel Pants - Oat</x:v>
      </x:c>
      <x:c r="F218" s="69" t="str">
        <x:v>Oat</x:v>
      </x:c>
      <x:c r="G218" s="69" t="str"/>
      <x:c r="H218" s="84" t="n">
        <x:v>215000</x:v>
      </x:c>
      <x:c r="I218" s="90" t="n">
        <x:v>1</x:v>
      </x:c>
      <x:c r="J218" s="69" t="str">
        <x:f>IF(I218&lt;=0,"Habis",IF(I218&lt;=2,"Stok Terbatas","Tersedia"))</x:f>
        <x:v>Stok Terbatas</x:v>
      </x:c>
      <x:c r="K218" s="69" t="str">
        <x:v>Pants</x:v>
      </x:c>
      <x:c r="L218" s="69" t="str">
        <x:v>Aktif</x:v>
      </x:c>
      <x:c r="M218" s="70" t="str"/>
    </x:row>
    <x:row r="219">
      <x:c r="A219" s="96" t="str">
        <x:v>12M132870XX2</x:v>
      </x:c>
      <x:c r="B219" s="102" t="n">
        <x:v>12</x:v>
      </x:c>
      <x:c r="C219" s="108" t="str">
        <x:v>NO BRAND</x:v>
      </x:c>
      <x:c r="D219" s="69" t="str">
        <x:v>PRD0126</x:v>
      </x:c>
      <x:c r="E219" s="69" t="str">
        <x:v>Barrel Pants - Oat (Reg Size)</x:v>
      </x:c>
      <x:c r="F219" s="69" t="str">
        <x:v>Oat</x:v>
      </x:c>
      <x:c r="G219" s="69" t="str">
        <x:v>Reg Size</x:v>
      </x:c>
      <x:c r="H219" s="84" t="n">
        <x:v>215000</x:v>
      </x:c>
      <x:c r="I219" s="90" t="n">
        <x:v>1</x:v>
      </x:c>
      <x:c r="J219" s="69" t="str">
        <x:f>IF(I219&lt;=0,"Habis",IF(I219&lt;=2,"Stok Terbatas","Tersedia"))</x:f>
        <x:v>Stok Terbatas</x:v>
      </x:c>
      <x:c r="K219" s="69" t="str">
        <x:v>Pants</x:v>
      </x:c>
      <x:c r="L219" s="69" t="str">
        <x:v>Aktif</x:v>
      </x:c>
      <x:c r="M219" s="70" t="str"/>
    </x:row>
    <x:row r="220">
      <x:c r="A220" s="96" t="str">
        <x:v>12M132862XX0</x:v>
      </x:c>
      <x:c r="B220" s="102" t="n">
        <x:v>12</x:v>
      </x:c>
      <x:c r="C220" s="108" t="str">
        <x:v>NO BRAND</x:v>
      </x:c>
      <x:c r="D220" s="69" t="str">
        <x:v>PRD0126</x:v>
      </x:c>
      <x:c r="E220" s="69" t="str">
        <x:v>Barrel Pants - White</x:v>
      </x:c>
      <x:c r="F220" s="69" t="str">
        <x:v>White</x:v>
      </x:c>
      <x:c r="G220" s="69" t="str"/>
      <x:c r="H220" s="84" t="n">
        <x:v>215000</x:v>
      </x:c>
      <x:c r="I220" s="90" t="n">
        <x:v>1</x:v>
      </x:c>
      <x:c r="J220" s="69" t="str">
        <x:f>IF(I220&lt;=0,"Habis",IF(I220&lt;=2,"Stok Terbatas","Tersedia"))</x:f>
        <x:v>Stok Terbatas</x:v>
      </x:c>
      <x:c r="K220" s="69" t="str">
        <x:v>Pants</x:v>
      </x:c>
      <x:c r="L220" s="69" t="str">
        <x:v>Aktif</x:v>
      </x:c>
      <x:c r="M220" s="70" t="str"/>
    </x:row>
    <x:row r="221">
      <x:c r="A221" s="96" t="str">
        <x:v>12M132875XX4</x:v>
      </x:c>
      <x:c r="B221" s="102" t="n">
        <x:v>12</x:v>
      </x:c>
      <x:c r="C221" s="108" t="str">
        <x:v>NO BRAND</x:v>
      </x:c>
      <x:c r="D221" s="69" t="str">
        <x:v>PRD0126</x:v>
      </x:c>
      <x:c r="E221" s="69" t="str">
        <x:v>Barrel Pants - White (Bigi Size)</x:v>
      </x:c>
      <x:c r="F221" s="69" t="str">
        <x:v>White</x:v>
      </x:c>
      <x:c r="G221" s="69" t="str">
        <x:v>Bigi Size</x:v>
      </x:c>
      <x:c r="H221" s="84" t="n">
        <x:v>215000</x:v>
      </x:c>
      <x:c r="I221" s="90" t="n">
        <x:v>1</x:v>
      </x:c>
      <x:c r="J221" s="69" t="str">
        <x:f>IF(I221&lt;=0,"Habis",IF(I221&lt;=2,"Stok Terbatas","Tersedia"))</x:f>
        <x:v>Stok Terbatas</x:v>
      </x:c>
      <x:c r="K221" s="69" t="str">
        <x:v>Pants</x:v>
      </x:c>
      <x:c r="L221" s="69" t="str">
        <x:v>Aktif</x:v>
      </x:c>
      <x:c r="M221" s="70" t="str"/>
    </x:row>
    <x:row r="222">
      <x:c r="A222" s="96" t="str">
        <x:v>12M52007XX0</x:v>
      </x:c>
      <x:c r="B222" s="102" t="n">
        <x:v>12</x:v>
      </x:c>
      <x:c r="C222" s="108" t="str">
        <x:v>NO BRAND</x:v>
      </x:c>
      <x:c r="D222" s="69" t="str">
        <x:v>PRD0107</x:v>
      </x:c>
      <x:c r="E222" s="69" t="str">
        <x:v>Camila Necklace Beads</x:v>
      </x:c>
      <x:c r="F222" s="69" t="str"/>
      <x:c r="G222" s="69" t="str"/>
      <x:c r="H222" s="84" t="n">
        <x:v>90000</x:v>
      </x:c>
      <x:c r="I222" s="90" t="n">
        <x:v>1</x:v>
      </x:c>
      <x:c r="J222" s="69" t="str">
        <x:f>IF(I222&lt;=0,"Habis",IF(I222&lt;=2,"Stok Terbatas","Tersedia"))</x:f>
        <x:v>Stok Terbatas</x:v>
      </x:c>
      <x:c r="K222" s="69" t="str">
        <x:v>Aksesoris</x:v>
      </x:c>
      <x:c r="L222" s="69" t="str">
        <x:v>Aktif</x:v>
      </x:c>
      <x:c r="M222" s="70" t="str"/>
    </x:row>
    <x:row r="223">
      <x:c r="A223" s="96" t="str">
        <x:v>12M52005XX0</x:v>
      </x:c>
      <x:c r="B223" s="102" t="n">
        <x:v>12</x:v>
      </x:c>
      <x:c r="C223" s="108" t="str">
        <x:v>NO BRAND</x:v>
      </x:c>
      <x:c r="D223" s="69" t="str">
        <x:v>PRD0108</x:v>
      </x:c>
      <x:c r="E223" s="69" t="str">
        <x:v>Chloe Ear Clip</x:v>
      </x:c>
      <x:c r="F223" s="69" t="str"/>
      <x:c r="G223" s="69" t="str"/>
      <x:c r="H223" s="84" t="n">
        <x:v>70000</x:v>
      </x:c>
      <x:c r="I223" s="90" t="n">
        <x:v>2</x:v>
      </x:c>
      <x:c r="J223" s="69" t="str">
        <x:f>IF(I223&lt;=0,"Habis",IF(I223&lt;=2,"Stok Terbatas","Tersedia"))</x:f>
        <x:v>Stok Terbatas</x:v>
      </x:c>
      <x:c r="K223" s="69" t="str">
        <x:v>Aksesoris</x:v>
      </x:c>
      <x:c r="L223" s="69" t="str">
        <x:v>Aktif</x:v>
      </x:c>
      <x:c r="M223" s="70" t="str"/>
    </x:row>
    <x:row r="224">
      <x:c r="A224" s="96" t="str">
        <x:v>12M51996XX0</x:v>
      </x:c>
      <x:c r="B224" s="102" t="n">
        <x:v>12</x:v>
      </x:c>
      <x:c r="C224" s="108" t="str">
        <x:v>NO BRAND</x:v>
      </x:c>
      <x:c r="D224" s="69" t="str">
        <x:v>PRD0109</x:v>
      </x:c>
      <x:c r="E224" s="69" t="str">
        <x:v>Etzu Statement Brooch (Sky)</x:v>
      </x:c>
      <x:c r="F224" s="69" t="str">
        <x:v>Sky</x:v>
      </x:c>
      <x:c r="G224" s="69" t="str"/>
      <x:c r="H224" s="84" t="n">
        <x:v>59500</x:v>
      </x:c>
      <x:c r="I224" s="90" t="n">
        <x:v>1</x:v>
      </x:c>
      <x:c r="J224" s="69" t="str">
        <x:f>IF(I224&lt;=0,"Habis",IF(I224&lt;=2,"Stok Terbatas","Tersedia"))</x:f>
        <x:v>Stok Terbatas</x:v>
      </x:c>
      <x:c r="K224" s="69" t="str">
        <x:v>Aksesoris</x:v>
      </x:c>
      <x:c r="L224" s="69" t="str">
        <x:v>Aktif</x:v>
      </x:c>
      <x:c r="M224" s="70" t="str"/>
    </x:row>
    <x:row r="225">
      <x:c r="A225" s="96" t="str">
        <x:v>12M52002XX0</x:v>
      </x:c>
      <x:c r="B225" s="102" t="n">
        <x:v>12</x:v>
      </x:c>
      <x:c r="C225" s="108" t="str">
        <x:v>NO BRAND</x:v>
      </x:c>
      <x:c r="D225" s="69" t="str">
        <x:v>PRD0110</x:v>
      </x:c>
      <x:c r="E225" s="69" t="str">
        <x:v>Gamila Statement Brooch</x:v>
      </x:c>
      <x:c r="F225" s="69" t="str"/>
      <x:c r="G225" s="69" t="str"/>
      <x:c r="H225" s="84" t="n">
        <x:v>145000</x:v>
      </x:c>
      <x:c r="I225" s="90" t="n">
        <x:v>2</x:v>
      </x:c>
      <x:c r="J225" s="69" t="str">
        <x:f>IF(I225&lt;=0,"Habis",IF(I225&lt;=2,"Stok Terbatas","Tersedia"))</x:f>
        <x:v>Stok Terbatas</x:v>
      </x:c>
      <x:c r="K225" s="69" t="str">
        <x:v>Aksesoris</x:v>
      </x:c>
      <x:c r="L225" s="69" t="str">
        <x:v>Aktif</x:v>
      </x:c>
      <x:c r="M225" s="70" t="str"/>
    </x:row>
    <x:row r="226">
      <x:c r="A226" s="96" t="str">
        <x:v>12M51990XX0</x:v>
      </x:c>
      <x:c r="B226" s="102" t="n">
        <x:v>12</x:v>
      </x:c>
      <x:c r="C226" s="108" t="str">
        <x:v>NO BRAND</x:v>
      </x:c>
      <x:c r="D226" s="69" t="str">
        <x:v>PRD0111</x:v>
      </x:c>
      <x:c r="E226" s="69" t="str">
        <x:v>Kalu Black</x:v>
      </x:c>
      <x:c r="F226" s="69" t="str"/>
      <x:c r="G226" s="69" t="str"/>
      <x:c r="H226" s="84" t="n">
        <x:v>50000</x:v>
      </x:c>
      <x:c r="I226" s="90" t="n">
        <x:v>1</x:v>
      </x:c>
      <x:c r="J226" s="69" t="str">
        <x:f>IF(I226&lt;=0,"Habis",IF(I226&lt;=2,"Stok Terbatas","Tersedia"))</x:f>
        <x:v>Stok Terbatas</x:v>
      </x:c>
      <x:c r="K226" s="69" t="str">
        <x:v>Aksesoris</x:v>
      </x:c>
      <x:c r="L226" s="69" t="str">
        <x:v>Aktif</x:v>
      </x:c>
      <x:c r="M226" s="70" t="str"/>
    </x:row>
    <x:row r="227">
      <x:c r="A227" s="96" t="str">
        <x:v>12M32892XX0</x:v>
      </x:c>
      <x:c r="B227" s="102" t="n">
        <x:v>12</x:v>
      </x:c>
      <x:c r="C227" s="108" t="str">
        <x:v>NO BRAND</x:v>
      </x:c>
      <x:c r="D227" s="69" t="str">
        <x:v>PRD0127</x:v>
      </x:c>
      <x:c r="E227" s="69" t="str">
        <x:v>Kaya Top - Cream Sage</x:v>
      </x:c>
      <x:c r="F227" s="69" t="str">
        <x:v>Cream Sage</x:v>
      </x:c>
      <x:c r="G227" s="69" t="str"/>
      <x:c r="H227" s="84" t="n">
        <x:v>199000</x:v>
      </x:c>
      <x:c r="I227" s="90" t="n">
        <x:v>1</x:v>
      </x:c>
      <x:c r="J227" s="69" t="str">
        <x:f>IF(I227&lt;=0,"Habis",IF(I227&lt;=2,"Stok Terbatas","Tersedia"))</x:f>
        <x:v>Stok Terbatas</x:v>
      </x:c>
      <x:c r="K227" s="69" t="str">
        <x:v>Shirt</x:v>
      </x:c>
      <x:c r="L227" s="69" t="str">
        <x:v>Aktif</x:v>
      </x:c>
      <x:c r="M227" s="70" t="str"/>
    </x:row>
    <x:row r="228">
      <x:c r="A228" s="96" t="str">
        <x:v>12M52001XX0</x:v>
      </x:c>
      <x:c r="B228" s="102" t="n">
        <x:v>12</x:v>
      </x:c>
      <x:c r="C228" s="108" t="str">
        <x:v>NO BRAND</x:v>
      </x:c>
      <x:c r="D228" s="69" t="str">
        <x:v>PRD0112</x:v>
      </x:c>
      <x:c r="E228" s="69" t="str">
        <x:v>Kiara Necklace Beads (Black)</x:v>
      </x:c>
      <x:c r="F228" s="69" t="str">
        <x:v>Black</x:v>
      </x:c>
      <x:c r="G228" s="69" t="str"/>
      <x:c r="H228" s="84" t="n">
        <x:v>148000</x:v>
      </x:c>
      <x:c r="I228" s="90" t="n">
        <x:v>1</x:v>
      </x:c>
      <x:c r="J228" s="69" t="str">
        <x:f>IF(I228&lt;=0,"Habis",IF(I228&lt;=2,"Stok Terbatas","Tersedia"))</x:f>
        <x:v>Stok Terbatas</x:v>
      </x:c>
      <x:c r="K228" s="69" t="str">
        <x:v>Aksesoris</x:v>
      </x:c>
      <x:c r="L228" s="69" t="str">
        <x:v>Aktif</x:v>
      </x:c>
      <x:c r="M228" s="70" t="str"/>
    </x:row>
    <x:row r="229">
      <x:c r="A229" s="96" t="str">
        <x:v>12M52000XX0</x:v>
      </x:c>
      <x:c r="B229" s="102" t="n">
        <x:v>12</x:v>
      </x:c>
      <x:c r="C229" s="108" t="str">
        <x:v>NO BRAND</x:v>
      </x:c>
      <x:c r="D229" s="69" t="str">
        <x:v>PRD0112</x:v>
      </x:c>
      <x:c r="E229" s="69" t="str">
        <x:v>Kiara Necklace Beads (Blossom)</x:v>
      </x:c>
      <x:c r="F229" s="69" t="str">
        <x:v>Blossom</x:v>
      </x:c>
      <x:c r="G229" s="69" t="str"/>
      <x:c r="H229" s="84" t="n">
        <x:v>148000</x:v>
      </x:c>
      <x:c r="I229" s="90" t="n">
        <x:v>2</x:v>
      </x:c>
      <x:c r="J229" s="69" t="str">
        <x:f>IF(I229&lt;=0,"Habis",IF(I229&lt;=2,"Stok Terbatas","Tersedia"))</x:f>
        <x:v>Stok Terbatas</x:v>
      </x:c>
      <x:c r="K229" s="69" t="str">
        <x:v>Aksesoris</x:v>
      </x:c>
      <x:c r="L229" s="69" t="str">
        <x:v>Aktif</x:v>
      </x:c>
      <x:c r="M229" s="70" t="str"/>
    </x:row>
    <x:row r="230">
      <x:c r="A230" s="96" t="str">
        <x:v>12M12729XX0</x:v>
      </x:c>
      <x:c r="B230" s="102" t="n">
        <x:v>12</x:v>
      </x:c>
      <x:c r="C230" s="108" t="str">
        <x:v>NO BRAND</x:v>
      </x:c>
      <x:c r="D230" s="69" t="str">
        <x:v>PRD0123</x:v>
      </x:c>
      <x:c r="E230" s="69" t="str">
        <x:v>Kirana Paris - Brown Muffin</x:v>
      </x:c>
      <x:c r="F230" s="69" t="str">
        <x:v>Brown Muffin</x:v>
      </x:c>
      <x:c r="G230" s="69" t="str"/>
      <x:c r="H230" s="84" t="n">
        <x:v>129000</x:v>
      </x:c>
      <x:c r="I230" s="90" t="n">
        <x:v>1</x:v>
      </x:c>
      <x:c r="J230" s="69" t="str">
        <x:f>IF(I230&lt;=0,"Habis",IF(I230&lt;=2,"Stok Terbatas","Tersedia"))</x:f>
        <x:v>Stok Terbatas</x:v>
      </x:c>
      <x:c r="K230" s="69" t="str">
        <x:v>Hijab</x:v>
      </x:c>
      <x:c r="L230" s="69" t="str">
        <x:v>Aktif</x:v>
      </x:c>
      <x:c r="M230" s="70" t="str"/>
    </x:row>
    <x:row r="231">
      <x:c r="A231" s="96" t="str">
        <x:v>12M12674XX0</x:v>
      </x:c>
      <x:c r="B231" s="102" t="n">
        <x:v>12</x:v>
      </x:c>
      <x:c r="C231" s="108" t="str">
        <x:v>NO BRAND</x:v>
      </x:c>
      <x:c r="D231" s="69" t="str">
        <x:v>PRD0123</x:v>
      </x:c>
      <x:c r="E231" s="69" t="str">
        <x:v>Kirana Paris - Burgundy</x:v>
      </x:c>
      <x:c r="F231" s="69" t="str">
        <x:v>Burgundy</x:v>
      </x:c>
      <x:c r="G231" s="69" t="str"/>
      <x:c r="H231" s="84" t="n">
        <x:v>129000</x:v>
      </x:c>
      <x:c r="I231" s="90" t="n">
        <x:v>1</x:v>
      </x:c>
      <x:c r="J231" s="69" t="str">
        <x:f>IF(I231&lt;=0,"Habis",IF(I231&lt;=2,"Stok Terbatas","Tersedia"))</x:f>
        <x:v>Stok Terbatas</x:v>
      </x:c>
      <x:c r="K231" s="69" t="str">
        <x:v>Hijab</x:v>
      </x:c>
      <x:c r="L231" s="69" t="str">
        <x:v>Aktif</x:v>
      </x:c>
      <x:c r="M231" s="70" t="str"/>
    </x:row>
    <x:row r="232">
      <x:c r="A232" s="96" t="str">
        <x:v>12M32841XX2</x:v>
      </x:c>
      <x:c r="B232" s="102" t="n">
        <x:v>12</x:v>
      </x:c>
      <x:c r="C232" s="108" t="str">
        <x:v>NO BRAND</x:v>
      </x:c>
      <x:c r="D232" s="69" t="str">
        <x:v>PRD0128</x:v>
      </x:c>
      <x:c r="E232" s="69" t="str">
        <x:v>Livia High Neck Top - Black (SM)</x:v>
      </x:c>
      <x:c r="F232" s="69" t="str">
        <x:v>Black</x:v>
      </x:c>
      <x:c r="G232" s="69" t="str">
        <x:v>SM</x:v>
      </x:c>
      <x:c r="H232" s="84" t="n">
        <x:v>379000</x:v>
      </x:c>
      <x:c r="I232" s="90" t="n">
        <x:v>1</x:v>
      </x:c>
      <x:c r="J232" s="69" t="str">
        <x:f>IF(I232&lt;=0,"Habis",IF(I232&lt;=2,"Stok Terbatas","Tersedia"))</x:f>
        <x:v>Stok Terbatas</x:v>
      </x:c>
      <x:c r="K232" s="69" t="str">
        <x:v>Shirt</x:v>
      </x:c>
      <x:c r="L232" s="69" t="str">
        <x:v>Aktif</x:v>
      </x:c>
      <x:c r="M232" s="70" t="str"/>
    </x:row>
    <x:row r="233">
      <x:c r="A233" s="96" t="str">
        <x:v>12M32844XX4</x:v>
      </x:c>
      <x:c r="B233" s="102" t="n">
        <x:v>12</x:v>
      </x:c>
      <x:c r="C233" s="108" t="str">
        <x:v>NO BRAND</x:v>
      </x:c>
      <x:c r="D233" s="69" t="str">
        <x:v>PRD0128</x:v>
      </x:c>
      <x:c r="E233" s="69" t="str">
        <x:v>Livia High Neck Top - Dark Brown (LXL)</x:v>
      </x:c>
      <x:c r="F233" s="69" t="str">
        <x:v>Dark Brown</x:v>
      </x:c>
      <x:c r="G233" s="69" t="str">
        <x:v>LXL</x:v>
      </x:c>
      <x:c r="H233" s="84" t="n">
        <x:v>379000</x:v>
      </x:c>
      <x:c r="I233" s="90" t="n">
        <x:v>1</x:v>
      </x:c>
      <x:c r="J233" s="69" t="str">
        <x:f>IF(I233&lt;=0,"Habis",IF(I233&lt;=2,"Stok Terbatas","Tersedia"))</x:f>
        <x:v>Stok Terbatas</x:v>
      </x:c>
      <x:c r="K233" s="69" t="str">
        <x:v>Shirt</x:v>
      </x:c>
      <x:c r="L233" s="69" t="str">
        <x:v>Aktif</x:v>
      </x:c>
      <x:c r="M233" s="70" t="str"/>
    </x:row>
    <x:row r="234">
      <x:c r="A234" s="96" t="str">
        <x:v>12M32843XX2</x:v>
      </x:c>
      <x:c r="B234" s="102" t="n">
        <x:v>12</x:v>
      </x:c>
      <x:c r="C234" s="108" t="str">
        <x:v>NO BRAND</x:v>
      </x:c>
      <x:c r="D234" s="69" t="str">
        <x:v>PRD0128</x:v>
      </x:c>
      <x:c r="E234" s="69" t="str">
        <x:v>Livia High Neck Top - Dark Brown (SM)</x:v>
      </x:c>
      <x:c r="F234" s="69" t="str">
        <x:v>Dark Brown</x:v>
      </x:c>
      <x:c r="G234" s="69" t="str">
        <x:v>SM</x:v>
      </x:c>
      <x:c r="H234" s="84" t="n">
        <x:v>379000</x:v>
      </x:c>
      <x:c r="I234" s="90" t="n">
        <x:v>1</x:v>
      </x:c>
      <x:c r="J234" s="69" t="str">
        <x:f>IF(I234&lt;=0,"Habis",IF(I234&lt;=2,"Stok Terbatas","Tersedia"))</x:f>
        <x:v>Stok Terbatas</x:v>
      </x:c>
      <x:c r="K234" s="69" t="str">
        <x:v>Shirt</x:v>
      </x:c>
      <x:c r="L234" s="69" t="str">
        <x:v>Aktif</x:v>
      </x:c>
      <x:c r="M234" s="70" t="str"/>
    </x:row>
    <x:row r="235">
      <x:c r="A235" s="96" t="str">
        <x:v>12M51522XX0</x:v>
      </x:c>
      <x:c r="B235" s="102" t="n">
        <x:v>12</x:v>
      </x:c>
      <x:c r="C235" s="108" t="str">
        <x:v>NO BRAND</x:v>
      </x:c>
      <x:c r="D235" s="69" t="str">
        <x:v>PRD0113</x:v>
      </x:c>
      <x:c r="E235" s="69" t="str">
        <x:v>Lucie Statement Brooch</x:v>
      </x:c>
      <x:c r="F235" s="69" t="str"/>
      <x:c r="G235" s="69" t="str"/>
      <x:c r="H235" s="84" t="n">
        <x:v>50000</x:v>
      </x:c>
      <x:c r="I235" s="90" t="n">
        <x:v>1</x:v>
      </x:c>
      <x:c r="J235" s="69" t="str">
        <x:f>IF(I235&lt;=0,"Habis",IF(I235&lt;=2,"Stok Terbatas","Tersedia"))</x:f>
        <x:v>Stok Terbatas</x:v>
      </x:c>
      <x:c r="K235" s="69" t="str">
        <x:v>Aksesoris</x:v>
      </x:c>
      <x:c r="L235" s="69" t="str">
        <x:v>Aktif</x:v>
      </x:c>
      <x:c r="M235" s="70" t="str"/>
    </x:row>
    <x:row r="236">
      <x:c r="A236" s="96" t="str">
        <x:v>12M51507XX0</x:v>
      </x:c>
      <x:c r="B236" s="102" t="n">
        <x:v>12</x:v>
      </x:c>
      <x:c r="C236" s="108" t="str">
        <x:v>NO BRAND</x:v>
      </x:c>
      <x:c r="D236" s="69" t="str">
        <x:v>PRD0114</x:v>
      </x:c>
      <x:c r="E236" s="69" t="str">
        <x:v>Mini Brooch - Chloe Brooch</x:v>
      </x:c>
      <x:c r="F236" s="69" t="str"/>
      <x:c r="G236" s="69" t="str"/>
      <x:c r="H236" s="84" t="n">
        <x:v>45000</x:v>
      </x:c>
      <x:c r="I236" s="90" t="n">
        <x:v>2</x:v>
      </x:c>
      <x:c r="J236" s="69" t="str">
        <x:f>IF(I236&lt;=0,"Habis",IF(I236&lt;=2,"Stok Terbatas","Tersedia"))</x:f>
        <x:v>Stok Terbatas</x:v>
      </x:c>
      <x:c r="K236" s="69" t="str">
        <x:v>Aksesoris</x:v>
      </x:c>
      <x:c r="L236" s="69" t="str">
        <x:v>Aktif</x:v>
      </x:c>
      <x:c r="M236" s="70" t="str"/>
    </x:row>
    <x:row r="237">
      <x:c r="A237" s="96" t="str">
        <x:v>12M52004XX0</x:v>
      </x:c>
      <x:c r="B237" s="102" t="n">
        <x:v>12</x:v>
      </x:c>
      <x:c r="C237" s="108" t="str">
        <x:v>NO BRAND</x:v>
      </x:c>
      <x:c r="D237" s="69" t="str">
        <x:v>PRD0115</x:v>
      </x:c>
      <x:c r="E237" s="69" t="str">
        <x:v>Mona Ear Clip</x:v>
      </x:c>
      <x:c r="F237" s="69" t="str"/>
      <x:c r="G237" s="69" t="str"/>
      <x:c r="H237" s="84" t="n">
        <x:v>75000</x:v>
      </x:c>
      <x:c r="I237" s="90" t="n">
        <x:v>1</x:v>
      </x:c>
      <x:c r="J237" s="69" t="str">
        <x:f>IF(I237&lt;=0,"Habis",IF(I237&lt;=2,"Stok Terbatas","Tersedia"))</x:f>
        <x:v>Stok Terbatas</x:v>
      </x:c>
      <x:c r="K237" s="69" t="str">
        <x:v>Aksesoris</x:v>
      </x:c>
      <x:c r="L237" s="69" t="str">
        <x:v>Aktif</x:v>
      </x:c>
      <x:c r="M237" s="70" t="str"/>
    </x:row>
    <x:row r="238">
      <x:c r="A238" s="96" t="str">
        <x:v>12M12801XX0</x:v>
      </x:c>
      <x:c r="B238" s="102" t="n">
        <x:v>12</x:v>
      </x:c>
      <x:c r="C238" s="108" t="str">
        <x:v>NO BRAND</x:v>
      </x:c>
      <x:c r="D238" s="69" t="str">
        <x:v>PRD0124</x:v>
      </x:c>
      <x:c r="E238" s="69" t="str">
        <x:v>Pashmina Nour - Brown Muffin</x:v>
      </x:c>
      <x:c r="F238" s="69" t="str">
        <x:v>Brown Muffin</x:v>
      </x:c>
      <x:c r="G238" s="69" t="str"/>
      <x:c r="H238" s="84" t="n">
        <x:v>129000</x:v>
      </x:c>
      <x:c r="I238" s="90" t="n">
        <x:v>1</x:v>
      </x:c>
      <x:c r="J238" s="69" t="str">
        <x:f>IF(I238&lt;=0,"Habis",IF(I238&lt;=2,"Stok Terbatas","Tersedia"))</x:f>
        <x:v>Stok Terbatas</x:v>
      </x:c>
      <x:c r="K238" s="69" t="str">
        <x:v>Hijab</x:v>
      </x:c>
      <x:c r="L238" s="69" t="str">
        <x:v>Aktif</x:v>
      </x:c>
      <x:c r="M238" s="70" t="str"/>
    </x:row>
    <x:row r="239">
      <x:c r="A239" s="96" t="str">
        <x:v>12M12804XX0</x:v>
      </x:c>
      <x:c r="B239" s="102" t="n">
        <x:v>12</x:v>
      </x:c>
      <x:c r="C239" s="108" t="str">
        <x:v>NO BRAND</x:v>
      </x:c>
      <x:c r="D239" s="69" t="str">
        <x:v>PRD0124</x:v>
      </x:c>
      <x:c r="E239" s="69" t="str">
        <x:v>Pashmina Nour - Muffin</x:v>
      </x:c>
      <x:c r="F239" s="69" t="str">
        <x:v>Muffin</x:v>
      </x:c>
      <x:c r="G239" s="69" t="str"/>
      <x:c r="H239" s="84" t="n">
        <x:v>129000</x:v>
      </x:c>
      <x:c r="I239" s="90" t="n">
        <x:v>1</x:v>
      </x:c>
      <x:c r="J239" s="69" t="str">
        <x:f>IF(I239&lt;=0,"Habis",IF(I239&lt;=2,"Stok Terbatas","Tersedia"))</x:f>
        <x:v>Stok Terbatas</x:v>
      </x:c>
      <x:c r="K239" s="69" t="str">
        <x:v>Hijab</x:v>
      </x:c>
      <x:c r="L239" s="69" t="str">
        <x:v>Aktif</x:v>
      </x:c>
      <x:c r="M239" s="70" t="str"/>
    </x:row>
    <x:row r="240">
      <x:c r="A240" s="96" t="str">
        <x:v>12M12797XX0</x:v>
      </x:c>
      <x:c r="B240" s="102" t="n">
        <x:v>12</x:v>
      </x:c>
      <x:c r="C240" s="108" t="str">
        <x:v>NO BRAND</x:v>
      </x:c>
      <x:c r="D240" s="69" t="str">
        <x:v>PRD0124</x:v>
      </x:c>
      <x:c r="E240" s="69" t="str">
        <x:v>Pashmina Nour - Tea Rose</x:v>
      </x:c>
      <x:c r="F240" s="69" t="str">
        <x:v>Tea Rose</x:v>
      </x:c>
      <x:c r="G240" s="69" t="str"/>
      <x:c r="H240" s="84" t="n">
        <x:v>129000</x:v>
      </x:c>
      <x:c r="I240" s="90" t="n">
        <x:v>1</x:v>
      </x:c>
      <x:c r="J240" s="69" t="str">
        <x:f>IF(I240&lt;=0,"Habis",IF(I240&lt;=2,"Stok Terbatas","Tersedia"))</x:f>
        <x:v>Stok Terbatas</x:v>
      </x:c>
      <x:c r="K240" s="69" t="str">
        <x:v>Hijab</x:v>
      </x:c>
      <x:c r="L240" s="69" t="str">
        <x:v>Aktif</x:v>
      </x:c>
      <x:c r="M240" s="70" t="str"/>
    </x:row>
    <x:row r="241">
      <x:c r="A241" s="96" t="str">
        <x:v>12M32899XX0</x:v>
      </x:c>
      <x:c r="B241" s="102" t="n">
        <x:v>12</x:v>
      </x:c>
      <x:c r="C241" s="108" t="str">
        <x:v>NO BRAND</x:v>
      </x:c>
      <x:c r="D241" s="69" t="str">
        <x:v>PRD0129</x:v>
      </x:c>
      <x:c r="E241" s="69" t="str">
        <x:v>Polka Shirt - Black</x:v>
      </x:c>
      <x:c r="F241" s="69" t="str">
        <x:v>Black</x:v>
      </x:c>
      <x:c r="G241" s="69" t="str"/>
      <x:c r="H241" s="84" t="n">
        <x:v>299000</x:v>
      </x:c>
      <x:c r="I241" s="90" t="n">
        <x:v>2</x:v>
      </x:c>
      <x:c r="J241" s="69" t="str">
        <x:f>IF(I241&lt;=0,"Habis",IF(I241&lt;=2,"Stok Terbatas","Tersedia"))</x:f>
        <x:v>Stok Terbatas</x:v>
      </x:c>
      <x:c r="K241" s="69" t="str">
        <x:v>Shirt</x:v>
      </x:c>
      <x:c r="L241" s="69" t="str">
        <x:v>Aktif</x:v>
      </x:c>
      <x:c r="M241" s="70" t="str"/>
    </x:row>
    <x:row r="242">
      <x:c r="A242" s="96" t="str">
        <x:v>12M32898XX0</x:v>
      </x:c>
      <x:c r="B242" s="102" t="n">
        <x:v>12</x:v>
      </x:c>
      <x:c r="C242" s="108" t="str">
        <x:v>NO BRAND</x:v>
      </x:c>
      <x:c r="D242" s="69" t="str">
        <x:v>PRD0129</x:v>
      </x:c>
      <x:c r="E242" s="69" t="str">
        <x:v>Polka Shirt - Broken White</x:v>
      </x:c>
      <x:c r="F242" s="69" t="str">
        <x:v>Broken White</x:v>
      </x:c>
      <x:c r="G242" s="69" t="str"/>
      <x:c r="H242" s="84" t="n">
        <x:v>299000</x:v>
      </x:c>
      <x:c r="I242" s="90" t="n">
        <x:v>1</x:v>
      </x:c>
      <x:c r="J242" s="69" t="str">
        <x:f>IF(I242&lt;=0,"Habis",IF(I242&lt;=2,"Stok Terbatas","Tersedia"))</x:f>
        <x:v>Stok Terbatas</x:v>
      </x:c>
      <x:c r="K242" s="69" t="str">
        <x:v>Shirt</x:v>
      </x:c>
      <x:c r="L242" s="69" t="str">
        <x:v>Aktif</x:v>
      </x:c>
      <x:c r="M242" s="70" t="str"/>
    </x:row>
    <x:row r="243">
      <x:c r="A243" s="96" t="str">
        <x:v>12M151208XX0</x:v>
      </x:c>
      <x:c r="B243" s="102" t="n">
        <x:v>12</x:v>
      </x:c>
      <x:c r="C243" s="108" t="str">
        <x:v>NO BRAND</x:v>
      </x:c>
      <x:c r="D243" s="69" t="str">
        <x:v>PRD0122</x:v>
      </x:c>
      <x:c r="E243" s="69" t="str">
        <x:v>Post Bag - Silver</x:v>
      </x:c>
      <x:c r="F243" s="69" t="str">
        <x:v>Silver</x:v>
      </x:c>
      <x:c r="G243" s="69" t="str"/>
      <x:c r="H243" s="84" t="n">
        <x:v>300000</x:v>
      </x:c>
      <x:c r="I243" s="90" t="n">
        <x:v>1</x:v>
      </x:c>
      <x:c r="J243" s="69" t="str">
        <x:f>IF(I243&lt;=0,"Habis",IF(I243&lt;=2,"Stok Terbatas","Tersedia"))</x:f>
        <x:v>Stok Terbatas</x:v>
      </x:c>
      <x:c r="K243" s="69" t="str">
        <x:v>Bag</x:v>
      </x:c>
      <x:c r="L243" s="69" t="str">
        <x:v>Aktif</x:v>
      </x:c>
      <x:c r="M243" s="70" t="str"/>
    </x:row>
    <x:row r="244">
      <x:c r="A244" s="96" t="str">
        <x:v>12M51998XX0</x:v>
      </x:c>
      <x:c r="B244" s="102" t="n">
        <x:v>12</x:v>
      </x:c>
      <x:c r="C244" s="108" t="str">
        <x:v>NO BRAND</x:v>
      </x:c>
      <x:c r="D244" s="69" t="str">
        <x:v>PRD0116</x:v>
      </x:c>
      <x:c r="E244" s="69" t="str">
        <x:v>Sarayu Statement Brooch (Emerald)</x:v>
      </x:c>
      <x:c r="F244" s="69" t="str">
        <x:v>Emerald</x:v>
      </x:c>
      <x:c r="G244" s="69" t="str"/>
      <x:c r="H244" s="84" t="n">
        <x:v>100000</x:v>
      </x:c>
      <x:c r="I244" s="90" t="n">
        <x:v>2</x:v>
      </x:c>
      <x:c r="J244" s="69" t="str">
        <x:f>IF(I244&lt;=0,"Habis",IF(I244&lt;=2,"Stok Terbatas","Tersedia"))</x:f>
        <x:v>Stok Terbatas</x:v>
      </x:c>
      <x:c r="K244" s="69" t="str">
        <x:v>Aksesoris</x:v>
      </x:c>
      <x:c r="L244" s="69" t="str">
        <x:v>Aktif</x:v>
      </x:c>
      <x:c r="M244" s="70" t="str"/>
    </x:row>
    <x:row r="245">
      <x:c r="A245" s="96" t="str">
        <x:v>12M52003XX0</x:v>
      </x:c>
      <x:c r="B245" s="102" t="n">
        <x:v>12</x:v>
      </x:c>
      <x:c r="C245" s="108" t="str">
        <x:v>NO BRAND</x:v>
      </x:c>
      <x:c r="D245" s="69" t="str">
        <x:v>PRD0117</x:v>
      </x:c>
      <x:c r="E245" s="69" t="str">
        <x:v>Savana Ear Clip</x:v>
      </x:c>
      <x:c r="F245" s="69" t="str"/>
      <x:c r="G245" s="69" t="str"/>
      <x:c r="H245" s="84" t="n">
        <x:v>70000</x:v>
      </x:c>
      <x:c r="I245" s="90" t="n">
        <x:v>2</x:v>
      </x:c>
      <x:c r="J245" s="69" t="str">
        <x:f>IF(I245&lt;=0,"Habis",IF(I245&lt;=2,"Stok Terbatas","Tersedia"))</x:f>
        <x:v>Stok Terbatas</x:v>
      </x:c>
      <x:c r="K245" s="69" t="str">
        <x:v>Aksesoris</x:v>
      </x:c>
      <x:c r="L245" s="69" t="str">
        <x:v>Aktif</x:v>
      </x:c>
      <x:c r="M245" s="70" t="str"/>
    </x:row>
    <x:row r="246">
      <x:c r="A246" s="96" t="str">
        <x:v>12M52006XX0</x:v>
      </x:c>
      <x:c r="B246" s="102" t="n">
        <x:v>12</x:v>
      </x:c>
      <x:c r="C246" s="108" t="str">
        <x:v>NO BRAND</x:v>
      </x:c>
      <x:c r="D246" s="69" t="str">
        <x:v>PRD0118</x:v>
      </x:c>
      <x:c r="E246" s="69" t="str">
        <x:v>Sena Ear Clip</x:v>
      </x:c>
      <x:c r="F246" s="69" t="str"/>
      <x:c r="G246" s="69" t="str"/>
      <x:c r="H246" s="84" t="n">
        <x:v>75000</x:v>
      </x:c>
      <x:c r="I246" s="90" t="n">
        <x:v>2</x:v>
      </x:c>
      <x:c r="J246" s="69" t="str">
        <x:f>IF(I246&lt;=0,"Habis",IF(I246&lt;=2,"Stok Terbatas","Tersedia"))</x:f>
        <x:v>Stok Terbatas</x:v>
      </x:c>
      <x:c r="K246" s="69" t="str">
        <x:v>Aksesoris</x:v>
      </x:c>
      <x:c r="L246" s="69" t="str">
        <x:v>Aktif</x:v>
      </x:c>
      <x:c r="M246" s="70" t="str"/>
    </x:row>
    <x:row r="247">
      <x:c r="A247" s="96" t="str">
        <x:v>12M51499XX0</x:v>
      </x:c>
      <x:c r="B247" s="102" t="n">
        <x:v>12</x:v>
      </x:c>
      <x:c r="C247" s="108" t="str">
        <x:v>NO BRAND</x:v>
      </x:c>
      <x:c r="D247" s="69" t="str">
        <x:v>PRD0119</x:v>
      </x:c>
      <x:c r="E247" s="69" t="str">
        <x:v>Sonya Ear Clip</x:v>
      </x:c>
      <x:c r="F247" s="69" t="str"/>
      <x:c r="G247" s="69" t="str"/>
      <x:c r="H247" s="84" t="n">
        <x:v>70000</x:v>
      </x:c>
      <x:c r="I247" s="90" t="n">
        <x:v>2</x:v>
      </x:c>
      <x:c r="J247" s="69" t="str">
        <x:f>IF(I247&lt;=0,"Habis",IF(I247&lt;=2,"Stok Terbatas","Tersedia"))</x:f>
        <x:v>Stok Terbatas</x:v>
      </x:c>
      <x:c r="K247" s="69" t="str">
        <x:v>Aksesoris</x:v>
      </x:c>
      <x:c r="L247" s="69" t="str">
        <x:v>Aktif</x:v>
      </x:c>
      <x:c r="M247" s="70" t="str"/>
    </x:row>
    <x:row r="248">
      <x:c r="A248" s="96" t="str">
        <x:v>12M51504XX0</x:v>
      </x:c>
      <x:c r="B248" s="102" t="n">
        <x:v>12</x:v>
      </x:c>
      <x:c r="C248" s="108" t="str">
        <x:v>NO BRAND</x:v>
      </x:c>
      <x:c r="D248" s="69" t="str">
        <x:v>PRD0120</x:v>
      </x:c>
      <x:c r="E248" s="69" t="str">
        <x:v>Tajana Brooch - Black</x:v>
      </x:c>
      <x:c r="F248" s="69" t="str">
        <x:v>Black</x:v>
      </x:c>
      <x:c r="G248" s="69" t="str"/>
      <x:c r="H248" s="84" t="n">
        <x:v>135000</x:v>
      </x:c>
      <x:c r="I248" s="90" t="n">
        <x:v>1</x:v>
      </x:c>
      <x:c r="J248" s="69" t="str">
        <x:f>IF(I248&lt;=0,"Habis",IF(I248&lt;=2,"Stok Terbatas","Tersedia"))</x:f>
        <x:v>Stok Terbatas</x:v>
      </x:c>
      <x:c r="K248" s="69" t="str">
        <x:v>Aksesoris</x:v>
      </x:c>
      <x:c r="L248" s="69" t="str">
        <x:v>Aktif</x:v>
      </x:c>
      <x:c r="M248" s="70" t="str"/>
    </x:row>
    <x:row r="249">
      <x:c r="A249" s="96" t="str">
        <x:v>12M51501XX0</x:v>
      </x:c>
      <x:c r="B249" s="102" t="n">
        <x:v>12</x:v>
      </x:c>
      <x:c r="C249" s="108" t="str">
        <x:v>NO BRAND</x:v>
      </x:c>
      <x:c r="D249" s="69" t="str">
        <x:v>PRD0120</x:v>
      </x:c>
      <x:c r="E249" s="69" t="str">
        <x:v>Tajana Brooch - Maroon</x:v>
      </x:c>
      <x:c r="F249" s="69" t="str">
        <x:v>Maroon</x:v>
      </x:c>
      <x:c r="G249" s="69" t="str"/>
      <x:c r="H249" s="84" t="n">
        <x:v>135000</x:v>
      </x:c>
      <x:c r="I249" s="90" t="n">
        <x:v>2</x:v>
      </x:c>
      <x:c r="J249" s="69" t="str">
        <x:f>IF(I249&lt;=0,"Habis",IF(I249&lt;=2,"Stok Terbatas","Tersedia"))</x:f>
        <x:v>Stok Terbatas</x:v>
      </x:c>
      <x:c r="K249" s="69" t="str">
        <x:v>Aksesoris</x:v>
      </x:c>
      <x:c r="L249" s="69" t="str">
        <x:v>Aktif</x:v>
      </x:c>
      <x:c r="M249" s="70" t="str"/>
    </x:row>
    <x:row r="250">
      <x:c r="A250" s="96" t="str">
        <x:v>12M72902XX0</x:v>
      </x:c>
      <x:c r="B250" s="102" t="n">
        <x:v>12</x:v>
      </x:c>
      <x:c r="C250" s="108" t="str">
        <x:v>NO BRAND</x:v>
      </x:c>
      <x:c r="D250" s="69" t="str">
        <x:v>PRD0125</x:v>
      </x:c>
      <x:c r="E250" s="69" t="str">
        <x:v>Yasmeen Mukena Traveling - Blush</x:v>
      </x:c>
      <x:c r="F250" s="69" t="str">
        <x:v>Blush</x:v>
      </x:c>
      <x:c r="G250" s="69" t="str"/>
      <x:c r="H250" s="84" t="n">
        <x:v>200000</x:v>
      </x:c>
      <x:c r="I250" s="90" t="n">
        <x:v>1</x:v>
      </x:c>
      <x:c r="J250" s="69" t="str">
        <x:f>IF(I250&lt;=0,"Habis",IF(I250&lt;=2,"Stok Terbatas","Tersedia"))</x:f>
        <x:v>Stok Terbatas</x:v>
      </x:c>
      <x:c r="K250" s="69" t="str">
        <x:v>Mukena</x:v>
      </x:c>
      <x:c r="L250" s="69" t="str">
        <x:v>Aktif</x:v>
      </x:c>
      <x:c r="M250" s="70" t="str"/>
    </x:row>
    <x:row r="251">
      <x:c r="A251" s="96" t="str">
        <x:v>12M51993XX0</x:v>
      </x:c>
      <x:c r="B251" s="102" t="n">
        <x:v>12</x:v>
      </x:c>
      <x:c r="C251" s="108" t="str">
        <x:v>NO BRAND</x:v>
      </x:c>
      <x:c r="D251" s="69" t="str">
        <x:v>PRD0121</x:v>
      </x:c>
      <x:c r="E251" s="69" t="str">
        <x:v>Yeona Statement Brooch (Black Amethyst)</x:v>
      </x:c>
      <x:c r="F251" s="69" t="str">
        <x:v>Black Amethyst</x:v>
      </x:c>
      <x:c r="G251" s="69" t="str"/>
      <x:c r="H251" s="84" t="n">
        <x:v>145000</x:v>
      </x:c>
      <x:c r="I251" s="90" t="n">
        <x:v>1</x:v>
      </x:c>
      <x:c r="J251" s="69" t="str">
        <x:f>IF(I251&lt;=0,"Habis",IF(I251&lt;=2,"Stok Terbatas","Tersedia"))</x:f>
        <x:v>Stok Terbatas</x:v>
      </x:c>
      <x:c r="K251" s="69" t="str">
        <x:v>Aksesoris</x:v>
      </x:c>
      <x:c r="L251" s="69" t="str">
        <x:v>Aktif</x:v>
      </x:c>
      <x:c r="M251" s="70" t="str"/>
    </x:row>
    <x:row r="252">
      <x:c r="A252" s="96" t="str">
        <x:v>12M51994XX0</x:v>
      </x:c>
      <x:c r="B252" s="102" t="n">
        <x:v>12</x:v>
      </x:c>
      <x:c r="C252" s="108" t="str">
        <x:v>NO BRAND</x:v>
      </x:c>
      <x:c r="D252" s="69" t="str">
        <x:v>PRD0121</x:v>
      </x:c>
      <x:c r="E252" s="69" t="str">
        <x:v>Yeona Statement Brooch (Creamy)</x:v>
      </x:c>
      <x:c r="F252" s="69" t="str">
        <x:v>Creamy</x:v>
      </x:c>
      <x:c r="G252" s="69" t="str"/>
      <x:c r="H252" s="84" t="n">
        <x:v>145000</x:v>
      </x:c>
      <x:c r="I252" s="90" t="n">
        <x:v>1</x:v>
      </x:c>
      <x:c r="J252" s="69" t="str">
        <x:f>IF(I252&lt;=0,"Habis",IF(I252&lt;=2,"Stok Terbatas","Tersedia"))</x:f>
        <x:v>Stok Terbatas</x:v>
      </x:c>
      <x:c r="K252" s="69" t="str">
        <x:v>Aksesoris</x:v>
      </x:c>
      <x:c r="L252" s="69" t="str">
        <x:v>Aktif</x:v>
      </x:c>
      <x:c r="M252" s="70" t="str"/>
    </x:row>
    <x:row r="253">
      <x:c r="A253" s="96" t="str">
        <x:v>12M51992XX0</x:v>
      </x:c>
      <x:c r="B253" s="102" t="n">
        <x:v>12</x:v>
      </x:c>
      <x:c r="C253" s="108" t="str">
        <x:v>NO BRAND</x:v>
      </x:c>
      <x:c r="D253" s="69" t="str">
        <x:v>PRD0121</x:v>
      </x:c>
      <x:c r="E253" s="69" t="str">
        <x:v>Yeona Statement Brooch (Full Black)</x:v>
      </x:c>
      <x:c r="F253" s="69" t="str">
        <x:v>Full Black</x:v>
      </x:c>
      <x:c r="G253" s="69" t="str"/>
      <x:c r="H253" s="84" t="n">
        <x:v>145000</x:v>
      </x:c>
      <x:c r="I253" s="90" t="n">
        <x:v>2</x:v>
      </x:c>
      <x:c r="J253" s="69" t="str">
        <x:f>IF(I253&lt;=0,"Habis",IF(I253&lt;=2,"Stok Terbatas","Tersedia"))</x:f>
        <x:v>Stok Terbatas</x:v>
      </x:c>
      <x:c r="K253" s="69" t="str">
        <x:v>Aksesoris</x:v>
      </x:c>
      <x:c r="L253" s="69" t="str">
        <x:v>Aktif</x:v>
      </x:c>
      <x:c r="M253" s="70" t="str"/>
    </x:row>
    <x:row r="254">
      <x:c r="A254" s="96" t="str">
        <x:v>14M142114XX0</x:v>
      </x:c>
      <x:c r="B254" s="102" t="n">
        <x:v>14</x:v>
      </x:c>
      <x:c r="C254" s="108" t="str">
        <x:v>NISA</x:v>
      </x:c>
      <x:c r="D254" s="69" t="str">
        <x:v>PRD0130</x:v>
      </x:c>
      <x:c r="E254" s="69" t="str">
        <x:v>Jihan Outer - Mauve</x:v>
      </x:c>
      <x:c r="F254" s="69" t="str">
        <x:v>Mauve</x:v>
      </x:c>
      <x:c r="G254" s="69" t="str"/>
      <x:c r="H254" s="84" t="n">
        <x:v>229000</x:v>
      </x:c>
      <x:c r="I254" s="90" t="n">
        <x:v>2</x:v>
      </x:c>
      <x:c r="J254" s="69" t="str">
        <x:f>IF(I254&lt;=0,"Habis",IF(I254&lt;=2,"Stok Terbatas","Tersedia"))</x:f>
        <x:v>Stok Terbatas</x:v>
      </x:c>
      <x:c r="K254" s="69" t="str">
        <x:v>Outer</x:v>
      </x:c>
      <x:c r="L254" s="69" t="str">
        <x:v>Aktif</x:v>
      </x:c>
      <x:c r="M254" s="70" t="str"/>
    </x:row>
    <x:row r="255">
      <x:c r="A255" s="96" t="str">
        <x:v>14M32112XX0</x:v>
      </x:c>
      <x:c r="B255" s="102" t="n">
        <x:v>14</x:v>
      </x:c>
      <x:c r="C255" s="108" t="str">
        <x:v>NISA</x:v>
      </x:c>
      <x:c r="D255" s="69" t="str">
        <x:v>PRD0131</x:v>
      </x:c>
      <x:c r="E255" s="69" t="str">
        <x:v>Lesty Kaftan - Mocca</x:v>
      </x:c>
      <x:c r="F255" s="69" t="str">
        <x:v>Mocca</x:v>
      </x:c>
      <x:c r="G255" s="69" t="str"/>
      <x:c r="H255" s="84" t="n">
        <x:v>229000</x:v>
      </x:c>
      <x:c r="I255" s="90" t="n">
        <x:v>1</x:v>
      </x:c>
      <x:c r="J255" s="69" t="str">
        <x:f>IF(I255&lt;=0,"Habis",IF(I255&lt;=2,"Stok Terbatas","Tersedia"))</x:f>
        <x:v>Stok Terbatas</x:v>
      </x:c>
      <x:c r="K255" s="69" t="str">
        <x:v>Shirt</x:v>
      </x:c>
      <x:c r="L255" s="69" t="str">
        <x:v>Aktif</x:v>
      </x:c>
      <x:c r="M255" s="70" t="str"/>
    </x:row>
    <x:row r="256">
      <x:c r="A256" s="96" t="str">
        <x:v>15M21700XX3</x:v>
      </x:c>
      <x:c r="B256" s="102" t="n">
        <x:v>15</x:v>
      </x:c>
      <x:c r="C256" s="108" t="str">
        <x:v>ANINDYASCARF</x:v>
      </x:c>
      <x:c r="D256" s="69" t="str">
        <x:v>PRD0132</x:v>
      </x:c>
      <x:c r="E256" s="69" t="str">
        <x:v>Alesha Dress - Peach Blue (L)</x:v>
      </x:c>
      <x:c r="F256" s="69" t="str">
        <x:v>Peach Blue</x:v>
      </x:c>
      <x:c r="G256" s="69" t="str">
        <x:v>L</x:v>
      </x:c>
      <x:c r="H256" s="84" t="n">
        <x:v>595000</x:v>
      </x:c>
      <x:c r="I256" s="90" t="n">
        <x:v>1</x:v>
      </x:c>
      <x:c r="J256" s="69" t="str">
        <x:f>IF(I256&lt;=0,"Habis",IF(I256&lt;=2,"Stok Terbatas","Tersedia"))</x:f>
        <x:v>Stok Terbatas</x:v>
      </x:c>
      <x:c r="K256" s="69" t="str">
        <x:v>Dress</x:v>
      </x:c>
      <x:c r="L256" s="69" t="str">
        <x:v>Aktif</x:v>
      </x:c>
      <x:c r="M256" s="70" t="str"/>
    </x:row>
    <x:row r="257">
      <x:c r="A257" s="96" t="str">
        <x:v>15M21702XX5</x:v>
      </x:c>
      <x:c r="B257" s="102" t="n">
        <x:v>15</x:v>
      </x:c>
      <x:c r="C257" s="108" t="str">
        <x:v>ANINDYASCARF</x:v>
      </x:c>
      <x:c r="D257" s="69" t="str">
        <x:v>PRD0132</x:v>
      </x:c>
      <x:c r="E257" s="69" t="str">
        <x:v>Alesha Dress - Peach Blue (XXL)</x:v>
      </x:c>
      <x:c r="F257" s="69" t="str">
        <x:v>Peach Blue</x:v>
      </x:c>
      <x:c r="G257" s="69" t="str">
        <x:v>XXL</x:v>
      </x:c>
      <x:c r="H257" s="84" t="n">
        <x:v>595000</x:v>
      </x:c>
      <x:c r="I257" s="90" t="n">
        <x:v>1</x:v>
      </x:c>
      <x:c r="J257" s="69" t="str">
        <x:f>IF(I257&lt;=0,"Habis",IF(I257&lt;=2,"Stok Terbatas","Tersedia"))</x:f>
        <x:v>Stok Terbatas</x:v>
      </x:c>
      <x:c r="K257" s="69" t="str">
        <x:v>Dress</x:v>
      </x:c>
      <x:c r="L257" s="69" t="str">
        <x:v>Aktif</x:v>
      </x:c>
      <x:c r="M257" s="70" t="str"/>
    </x:row>
    <x:row r="258">
      <x:c r="A258" s="96" t="str">
        <x:v>15M21695XX3</x:v>
      </x:c>
      <x:c r="B258" s="102" t="n">
        <x:v>15</x:v>
      </x:c>
      <x:c r="C258" s="108" t="str">
        <x:v>ANINDYASCARF</x:v>
      </x:c>
      <x:c r="D258" s="69" t="str">
        <x:v>PRD0132</x:v>
      </x:c>
      <x:c r="E258" s="69" t="str">
        <x:v>Alesha Dress - Pink Grey (L)</x:v>
      </x:c>
      <x:c r="F258" s="69" t="str">
        <x:v>Pink Grey</x:v>
      </x:c>
      <x:c r="G258" s="69" t="str">
        <x:v>L</x:v>
      </x:c>
      <x:c r="H258" s="84" t="n">
        <x:v>595000</x:v>
      </x:c>
      <x:c r="I258" s="90" t="n">
        <x:v>1</x:v>
      </x:c>
      <x:c r="J258" s="69" t="str">
        <x:f>IF(I258&lt;=0,"Habis",IF(I258&lt;=2,"Stok Terbatas","Tersedia"))</x:f>
        <x:v>Stok Terbatas</x:v>
      </x:c>
      <x:c r="K258" s="69" t="str">
        <x:v>Dress</x:v>
      </x:c>
      <x:c r="L258" s="69" t="str">
        <x:v>Aktif</x:v>
      </x:c>
      <x:c r="M258" s="70" t="str"/>
    </x:row>
    <x:row r="259">
      <x:c r="A259" s="96" t="str">
        <x:v>15M21696XX4</x:v>
      </x:c>
      <x:c r="B259" s="102" t="n">
        <x:v>15</x:v>
      </x:c>
      <x:c r="C259" s="108" t="str">
        <x:v>ANINDYASCARF</x:v>
      </x:c>
      <x:c r="D259" s="69" t="str">
        <x:v>PRD0132</x:v>
      </x:c>
      <x:c r="E259" s="69" t="str">
        <x:v>Alesha Dress - Pink Grey (XL)</x:v>
      </x:c>
      <x:c r="F259" s="69" t="str">
        <x:v>Pink Grey</x:v>
      </x:c>
      <x:c r="G259" s="69" t="str">
        <x:v>XL</x:v>
      </x:c>
      <x:c r="H259" s="84" t="n">
        <x:v>595000</x:v>
      </x:c>
      <x:c r="I259" s="90" t="n">
        <x:v>1</x:v>
      </x:c>
      <x:c r="J259" s="69" t="str">
        <x:f>IF(I259&lt;=0,"Habis",IF(I259&lt;=2,"Stok Terbatas","Tersedia"))</x:f>
        <x:v>Stok Terbatas</x:v>
      </x:c>
      <x:c r="K259" s="69" t="str">
        <x:v>Dress</x:v>
      </x:c>
      <x:c r="L259" s="69" t="str">
        <x:v>Aktif</x:v>
      </x:c>
      <x:c r="M259" s="70" t="str"/>
    </x:row>
    <x:row r="260">
      <x:c r="A260" s="96" t="str">
        <x:v>15M21568XX3</x:v>
      </x:c>
      <x:c r="B260" s="102" t="n">
        <x:v>15</x:v>
      </x:c>
      <x:c r="C260" s="108" t="str">
        <x:v>ANINDYASCARF</x:v>
      </x:c>
      <x:c r="D260" s="69" t="str">
        <x:v>PRD0133</x:v>
      </x:c>
      <x:c r="E260" s="69" t="str">
        <x:v>Fayla Dress - Pink (L)</x:v>
      </x:c>
      <x:c r="F260" s="69" t="str">
        <x:v>Pink</x:v>
      </x:c>
      <x:c r="G260" s="69" t="str">
        <x:v>L</x:v>
      </x:c>
      <x:c r="H260" s="84" t="n">
        <x:v>575000</x:v>
      </x:c>
      <x:c r="I260" s="90" t="n">
        <x:v>2</x:v>
      </x:c>
      <x:c r="J260" s="69" t="str">
        <x:f>IF(I260&lt;=0,"Habis",IF(I260&lt;=2,"Stok Terbatas","Tersedia"))</x:f>
        <x:v>Stok Terbatas</x:v>
      </x:c>
      <x:c r="K260" s="69" t="str">
        <x:v>Dress</x:v>
      </x:c>
      <x:c r="L260" s="69" t="str">
        <x:v>Aktif</x:v>
      </x:c>
      <x:c r="M260" s="70" t="str"/>
    </x:row>
    <x:row r="261">
      <x:c r="A261" s="96" t="str">
        <x:v>15M21567XX2</x:v>
      </x:c>
      <x:c r="B261" s="102" t="n">
        <x:v>15</x:v>
      </x:c>
      <x:c r="C261" s="108" t="str">
        <x:v>ANINDYASCARF</x:v>
      </x:c>
      <x:c r="D261" s="69" t="str">
        <x:v>PRD0133</x:v>
      </x:c>
      <x:c r="E261" s="69" t="str">
        <x:v>Fayla Dress - Pink (M)</x:v>
      </x:c>
      <x:c r="F261" s="69" t="str">
        <x:v>Pink</x:v>
      </x:c>
      <x:c r="G261" s="69" t="str">
        <x:v>M</x:v>
      </x:c>
      <x:c r="H261" s="84" t="n">
        <x:v>575000</x:v>
      </x:c>
      <x:c r="I261" s="90" t="n">
        <x:v>1</x:v>
      </x:c>
      <x:c r="J261" s="69" t="str">
        <x:f>IF(I261&lt;=0,"Habis",IF(I261&lt;=2,"Stok Terbatas","Tersedia"))</x:f>
        <x:v>Stok Terbatas</x:v>
      </x:c>
      <x:c r="K261" s="69" t="str">
        <x:v>Dress</x:v>
      </x:c>
      <x:c r="L261" s="69" t="str">
        <x:v>Aktif</x:v>
      </x:c>
      <x:c r="M261" s="70" t="str"/>
    </x:row>
    <x:row r="262">
      <x:c r="A262" s="96" t="str">
        <x:v>15M21566XX1</x:v>
      </x:c>
      <x:c r="B262" s="102" t="n">
        <x:v>15</x:v>
      </x:c>
      <x:c r="C262" s="108" t="str">
        <x:v>ANINDYASCARF</x:v>
      </x:c>
      <x:c r="D262" s="69" t="str">
        <x:v>PRD0133</x:v>
      </x:c>
      <x:c r="E262" s="69" t="str">
        <x:v>Fayla Dress - Pink (S)</x:v>
      </x:c>
      <x:c r="F262" s="69" t="str">
        <x:v>Pink</x:v>
      </x:c>
      <x:c r="G262" s="69" t="str">
        <x:v>S</x:v>
      </x:c>
      <x:c r="H262" s="84" t="n">
        <x:v>575000</x:v>
      </x:c>
      <x:c r="I262" s="90" t="n">
        <x:v>1</x:v>
      </x:c>
      <x:c r="J262" s="69" t="str">
        <x:f>IF(I262&lt;=0,"Habis",IF(I262&lt;=2,"Stok Terbatas","Tersedia"))</x:f>
        <x:v>Stok Terbatas</x:v>
      </x:c>
      <x:c r="K262" s="69" t="str">
        <x:v>Dress</x:v>
      </x:c>
      <x:c r="L262" s="69" t="str">
        <x:v>Aktif</x:v>
      </x:c>
      <x:c r="M262" s="70" t="str"/>
    </x:row>
    <x:row r="263">
      <x:c r="A263" s="96" t="str">
        <x:v>15M21616XX1</x:v>
      </x:c>
      <x:c r="B263" s="102" t="n">
        <x:v>15</x:v>
      </x:c>
      <x:c r="C263" s="108" t="str">
        <x:v>ANINDYASCARF</x:v>
      </x:c>
      <x:c r="D263" s="69" t="str">
        <x:v>PRD0133</x:v>
      </x:c>
      <x:c r="E263" s="69" t="str">
        <x:v>Fayla Dress - Purple (L)</x:v>
      </x:c>
      <x:c r="F263" s="69" t="str">
        <x:v>Purple</x:v>
      </x:c>
      <x:c r="G263" s="69" t="str">
        <x:v>L</x:v>
      </x:c>
      <x:c r="H263" s="84" t="n">
        <x:v>575000</x:v>
      </x:c>
      <x:c r="I263" s="90" t="n">
        <x:v>2</x:v>
      </x:c>
      <x:c r="J263" s="69" t="str">
        <x:f>IF(I263&lt;=0,"Habis",IF(I263&lt;=2,"Stok Terbatas","Tersedia"))</x:f>
        <x:v>Stok Terbatas</x:v>
      </x:c>
      <x:c r="K263" s="69" t="str">
        <x:v>Dress</x:v>
      </x:c>
      <x:c r="L263" s="69" t="str">
        <x:v>Aktif</x:v>
      </x:c>
      <x:c r="M263" s="70" t="str"/>
    </x:row>
    <x:row r="264">
      <x:c r="A264" s="96" t="str">
        <x:v>15M21615XX1</x:v>
      </x:c>
      <x:c r="B264" s="102" t="n">
        <x:v>15</x:v>
      </x:c>
      <x:c r="C264" s="108" t="str">
        <x:v>ANINDYASCARF</x:v>
      </x:c>
      <x:c r="D264" s="69" t="str">
        <x:v>PRD0133</x:v>
      </x:c>
      <x:c r="E264" s="69" t="str">
        <x:v>Fayla Dress - Purple (M)</x:v>
      </x:c>
      <x:c r="F264" s="69" t="str">
        <x:v>Purple</x:v>
      </x:c>
      <x:c r="G264" s="69" t="str">
        <x:v>M</x:v>
      </x:c>
      <x:c r="H264" s="84" t="n">
        <x:v>575000</x:v>
      </x:c>
      <x:c r="I264" s="90" t="n">
        <x:v>1</x:v>
      </x:c>
      <x:c r="J264" s="69" t="str">
        <x:f>IF(I264&lt;=0,"Habis",IF(I264&lt;=2,"Stok Terbatas","Tersedia"))</x:f>
        <x:v>Stok Terbatas</x:v>
      </x:c>
      <x:c r="K264" s="69" t="str">
        <x:v>Dress</x:v>
      </x:c>
      <x:c r="L264" s="69" t="str">
        <x:v>Aktif</x:v>
      </x:c>
      <x:c r="M264" s="70" t="str"/>
    </x:row>
    <x:row r="265">
      <x:c r="A265" s="96" t="str">
        <x:v>15M22629XX1</x:v>
      </x:c>
      <x:c r="B265" s="102" t="n">
        <x:v>15</x:v>
      </x:c>
      <x:c r="C265" s="108" t="str">
        <x:v>ANINDYASCARF</x:v>
      </x:c>
      <x:c r="D265" s="69" t="str">
        <x:v>PRD0134</x:v>
      </x:c>
      <x:c r="E265" s="69" t="str">
        <x:v>Ishwari Dress Anak - Brown (4y)</x:v>
      </x:c>
      <x:c r="F265" s="69" t="str">
        <x:v>Brown</x:v>
      </x:c>
      <x:c r="G265" s="69" t="str">
        <x:v>4y</x:v>
      </x:c>
      <x:c r="H265" s="84" t="n">
        <x:v>395000</x:v>
      </x:c>
      <x:c r="I265" s="90" t="n">
        <x:v>1</x:v>
      </x:c>
      <x:c r="J265" s="69" t="str">
        <x:f>IF(I265&lt;=0,"Habis",IF(I265&lt;=2,"Stok Terbatas","Tersedia"))</x:f>
        <x:v>Stok Terbatas</x:v>
      </x:c>
      <x:c r="K265" s="69" t="str">
        <x:v>Dress</x:v>
      </x:c>
      <x:c r="L265" s="69" t="str">
        <x:v>Aktif</x:v>
      </x:c>
      <x:c r="M265" s="70" t="str"/>
    </x:row>
    <x:row r="266">
      <x:c r="A266" s="96" t="str">
        <x:v>15M32638XY3</x:v>
      </x:c>
      <x:c r="B266" s="102" t="n">
        <x:v>15</x:v>
      </x:c>
      <x:c r="C266" s="108" t="str">
        <x:v>ANINDYASCARF</x:v>
      </x:c>
      <x:c r="D266" s="69" t="str">
        <x:v>PRD0138</x:v>
      </x:c>
      <x:c r="E266" s="69" t="str">
        <x:v>Ishwari Koko Anak - Black (L)</x:v>
      </x:c>
      <x:c r="F266" s="69" t="str">
        <x:v>Black</x:v>
      </x:c>
      <x:c r="G266" s="69" t="str">
        <x:v>L</x:v>
      </x:c>
      <x:c r="H266" s="84" t="n">
        <x:v>245000</x:v>
      </x:c>
      <x:c r="I266" s="90" t="n">
        <x:v>1</x:v>
      </x:c>
      <x:c r="J266" s="69" t="str">
        <x:f>IF(I266&lt;=0,"Habis",IF(I266&lt;=2,"Stok Terbatas","Tersedia"))</x:f>
        <x:v>Stok Terbatas</x:v>
      </x:c>
      <x:c r="K266" s="69" t="str">
        <x:v>Shirt</x:v>
      </x:c>
      <x:c r="L266" s="69" t="str">
        <x:v>Aktif</x:v>
      </x:c>
      <x:c r="M266" s="70" t="str"/>
    </x:row>
    <x:row r="267">
      <x:c r="A267" s="96" t="str">
        <x:v>15M32639XY4</x:v>
      </x:c>
      <x:c r="B267" s="102" t="n">
        <x:v>15</x:v>
      </x:c>
      <x:c r="C267" s="108" t="str">
        <x:v>ANINDYASCARF</x:v>
      </x:c>
      <x:c r="D267" s="69" t="str">
        <x:v>PRD0138</x:v>
      </x:c>
      <x:c r="E267" s="69" t="str">
        <x:v>Ishwari Koko Anak - Black (XL)</x:v>
      </x:c>
      <x:c r="F267" s="69" t="str">
        <x:v>Black</x:v>
      </x:c>
      <x:c r="G267" s="69" t="str">
        <x:v>XL</x:v>
      </x:c>
      <x:c r="H267" s="84" t="n">
        <x:v>245000</x:v>
      </x:c>
      <x:c r="I267" s="90" t="n">
        <x:v>1</x:v>
      </x:c>
      <x:c r="J267" s="69" t="str">
        <x:f>IF(I267&lt;=0,"Habis",IF(I267&lt;=2,"Stok Terbatas","Tersedia"))</x:f>
        <x:v>Stok Terbatas</x:v>
      </x:c>
      <x:c r="K267" s="69" t="str">
        <x:v>Shirt</x:v>
      </x:c>
      <x:c r="L267" s="69" t="str">
        <x:v>Aktif</x:v>
      </x:c>
      <x:c r="M267" s="70" t="str"/>
    </x:row>
    <x:row r="268">
      <x:c r="A268" s="96" t="str">
        <x:v>15M32641XY3</x:v>
      </x:c>
      <x:c r="B268" s="102" t="n">
        <x:v>15</x:v>
      </x:c>
      <x:c r="C268" s="108" t="str">
        <x:v>ANINDYASCARF</x:v>
      </x:c>
      <x:c r="D268" s="69" t="str">
        <x:v>PRD0138</x:v>
      </x:c>
      <x:c r="E268" s="69" t="str">
        <x:v>Ishwari Koko Anak - Brown (L)</x:v>
      </x:c>
      <x:c r="F268" s="69" t="str">
        <x:v>Brown</x:v>
      </x:c>
      <x:c r="G268" s="69" t="str">
        <x:v>L</x:v>
      </x:c>
      <x:c r="H268" s="84" t="n">
        <x:v>245000</x:v>
      </x:c>
      <x:c r="I268" s="90" t="n">
        <x:v>1</x:v>
      </x:c>
      <x:c r="J268" s="69" t="str">
        <x:f>IF(I268&lt;=0,"Habis",IF(I268&lt;=2,"Stok Terbatas","Tersedia"))</x:f>
        <x:v>Stok Terbatas</x:v>
      </x:c>
      <x:c r="K268" s="69" t="str">
        <x:v>Shirt</x:v>
      </x:c>
      <x:c r="L268" s="69" t="str">
        <x:v>Aktif</x:v>
      </x:c>
      <x:c r="M268" s="70" t="str"/>
    </x:row>
    <x:row r="269">
      <x:c r="A269" s="96" t="str">
        <x:v>15M32645XY4</x:v>
      </x:c>
      <x:c r="B269" s="102" t="n">
        <x:v>15</x:v>
      </x:c>
      <x:c r="C269" s="108" t="str">
        <x:v>ANINDYASCARF</x:v>
      </x:c>
      <x:c r="D269" s="69" t="str">
        <x:v>PRD0138</x:v>
      </x:c>
      <x:c r="E269" s="69" t="str">
        <x:v>Ishwari Koko Anak - Off White (XL)</x:v>
      </x:c>
      <x:c r="F269" s="69" t="str">
        <x:v>Off White</x:v>
      </x:c>
      <x:c r="G269" s="69" t="str">
        <x:v>XL</x:v>
      </x:c>
      <x:c r="H269" s="84" t="n">
        <x:v>245000</x:v>
      </x:c>
      <x:c r="I269" s="90" t="n">
        <x:v>1</x:v>
      </x:c>
      <x:c r="J269" s="69" t="str">
        <x:f>IF(I269&lt;=0,"Habis",IF(I269&lt;=2,"Stok Terbatas","Tersedia"))</x:f>
        <x:v>Stok Terbatas</x:v>
      </x:c>
      <x:c r="K269" s="69" t="str">
        <x:v>Shirt</x:v>
      </x:c>
      <x:c r="L269" s="69" t="str">
        <x:v>Aktif</x:v>
      </x:c>
      <x:c r="M269" s="70" t="str"/>
    </x:row>
    <x:row r="270">
      <x:c r="A270" s="96" t="str">
        <x:v>15M22092XX4</x:v>
      </x:c>
      <x:c r="B270" s="102" t="n">
        <x:v>15</x:v>
      </x:c>
      <x:c r="C270" s="108" t="str">
        <x:v>ANINDYASCARF</x:v>
      </x:c>
      <x:c r="D270" s="69" t="str">
        <x:v>PRD0135</x:v>
      </x:c>
      <x:c r="E270" s="69" t="str">
        <x:v>Kayla Dress - Maroon (XL)</x:v>
      </x:c>
      <x:c r="F270" s="69" t="str">
        <x:v>Maroon</x:v>
      </x:c>
      <x:c r="G270" s="69" t="str">
        <x:v>XL</x:v>
      </x:c>
      <x:c r="H270" s="84" t="n">
        <x:v>585000</x:v>
      </x:c>
      <x:c r="I270" s="90" t="n">
        <x:v>1</x:v>
      </x:c>
      <x:c r="J270" s="69" t="str">
        <x:f>IF(I270&lt;=0,"Habis",IF(I270&lt;=2,"Stok Terbatas","Tersedia"))</x:f>
        <x:v>Stok Terbatas</x:v>
      </x:c>
      <x:c r="K270" s="69" t="str">
        <x:v>Dress</x:v>
      </x:c>
      <x:c r="L270" s="69" t="str">
        <x:v>Aktif</x:v>
      </x:c>
      <x:c r="M270" s="70" t="str"/>
    </x:row>
    <x:row r="271">
      <x:c r="A271" s="96" t="str">
        <x:v>15M22073XX2</x:v>
      </x:c>
      <x:c r="B271" s="102" t="n">
        <x:v>15</x:v>
      </x:c>
      <x:c r="C271" s="108" t="str">
        <x:v>ANINDYASCARF</x:v>
      </x:c>
      <x:c r="D271" s="69" t="str">
        <x:v>PRD0136</x:v>
      </x:c>
      <x:c r="E271" s="69" t="str">
        <x:v>Rafea Dress - Blue Grey (L)</x:v>
      </x:c>
      <x:c r="F271" s="69" t="str">
        <x:v>Blue Grey</x:v>
      </x:c>
      <x:c r="G271" s="69" t="str">
        <x:v>L</x:v>
      </x:c>
      <x:c r="H271" s="84" t="n">
        <x:v>595000</x:v>
      </x:c>
      <x:c r="I271" s="90" t="n">
        <x:v>1</x:v>
      </x:c>
      <x:c r="J271" s="69" t="str">
        <x:f>IF(I271&lt;=0,"Habis",IF(I271&lt;=2,"Stok Terbatas","Tersedia"))</x:f>
        <x:v>Stok Terbatas</x:v>
      </x:c>
      <x:c r="K271" s="69" t="str">
        <x:v>Dress</x:v>
      </x:c>
      <x:c r="L271" s="69" t="str">
        <x:v>Aktif</x:v>
      </x:c>
      <x:c r="M271" s="70" t="str"/>
    </x:row>
    <x:row r="272">
      <x:c r="A272" s="96" t="str">
        <x:v>15M22074XX2</x:v>
      </x:c>
      <x:c r="B272" s="102" t="n">
        <x:v>15</x:v>
      </x:c>
      <x:c r="C272" s="108" t="str">
        <x:v>ANINDYASCARF</x:v>
      </x:c>
      <x:c r="D272" s="69" t="str">
        <x:v>PRD0136</x:v>
      </x:c>
      <x:c r="E272" s="69" t="str">
        <x:v>Rafea Dress - Blue Grey (XL)</x:v>
      </x:c>
      <x:c r="F272" s="69" t="str">
        <x:v>Blue Grey</x:v>
      </x:c>
      <x:c r="G272" s="69" t="str">
        <x:v>XL</x:v>
      </x:c>
      <x:c r="H272" s="84" t="n">
        <x:v>595000</x:v>
      </x:c>
      <x:c r="I272" s="90" t="n">
        <x:v>1</x:v>
      </x:c>
      <x:c r="J272" s="69" t="str">
        <x:f>IF(I272&lt;=0,"Habis",IF(I272&lt;=2,"Stok Terbatas","Tersedia"))</x:f>
        <x:v>Stok Terbatas</x:v>
      </x:c>
      <x:c r="K272" s="69" t="str">
        <x:v>Dress</x:v>
      </x:c>
      <x:c r="L272" s="69" t="str">
        <x:v>Aktif</x:v>
      </x:c>
      <x:c r="M272" s="70" t="str"/>
    </x:row>
    <x:row r="273">
      <x:c r="A273" s="96" t="str">
        <x:v>15M22076XX2</x:v>
      </x:c>
      <x:c r="B273" s="102" t="n">
        <x:v>15</x:v>
      </x:c>
      <x:c r="C273" s="108" t="str">
        <x:v>ANINDYASCARF</x:v>
      </x:c>
      <x:c r="D273" s="69" t="str">
        <x:v>PRD0136</x:v>
      </x:c>
      <x:c r="E273" s="69" t="str">
        <x:v>Rafea Dress - BW Pink (L)</x:v>
      </x:c>
      <x:c r="F273" s="69" t="str">
        <x:v>BW Pink</x:v>
      </x:c>
      <x:c r="G273" s="69" t="str">
        <x:v>L</x:v>
      </x:c>
      <x:c r="H273" s="84" t="n">
        <x:v>595000</x:v>
      </x:c>
      <x:c r="I273" s="90" t="n">
        <x:v>1</x:v>
      </x:c>
      <x:c r="J273" s="69" t="str">
        <x:f>IF(I273&lt;=0,"Habis",IF(I273&lt;=2,"Stok Terbatas","Tersedia"))</x:f>
        <x:v>Stok Terbatas</x:v>
      </x:c>
      <x:c r="K273" s="69" t="str">
        <x:v>Dress</x:v>
      </x:c>
      <x:c r="L273" s="69" t="str">
        <x:v>Aktif</x:v>
      </x:c>
      <x:c r="M273" s="70" t="str"/>
    </x:row>
    <x:row r="274">
      <x:c r="A274" s="96" t="str">
        <x:v>15M22075XX2</x:v>
      </x:c>
      <x:c r="B274" s="102" t="n">
        <x:v>15</x:v>
      </x:c>
      <x:c r="C274" s="108" t="str">
        <x:v>ANINDYASCARF</x:v>
      </x:c>
      <x:c r="D274" s="69" t="str">
        <x:v>PRD0136</x:v>
      </x:c>
      <x:c r="E274" s="69" t="str">
        <x:v>Rafea Dress - BW Pink (M)</x:v>
      </x:c>
      <x:c r="F274" s="69" t="str">
        <x:v>BW Pink</x:v>
      </x:c>
      <x:c r="G274" s="69" t="str">
        <x:v>M</x:v>
      </x:c>
      <x:c r="H274" s="84" t="n">
        <x:v>595000</x:v>
      </x:c>
      <x:c r="I274" s="90" t="n">
        <x:v>1</x:v>
      </x:c>
      <x:c r="J274" s="69" t="str">
        <x:f>IF(I274&lt;=0,"Habis",IF(I274&lt;=2,"Stok Terbatas","Tersedia"))</x:f>
        <x:v>Stok Terbatas</x:v>
      </x:c>
      <x:c r="K274" s="69" t="str">
        <x:v>Dress</x:v>
      </x:c>
      <x:c r="L274" s="69" t="str">
        <x:v>Aktif</x:v>
      </x:c>
      <x:c r="M274" s="70" t="str"/>
    </x:row>
    <x:row r="275">
      <x:c r="A275" s="96" t="str">
        <x:v>15M22077XX2</x:v>
      </x:c>
      <x:c r="B275" s="102" t="n">
        <x:v>15</x:v>
      </x:c>
      <x:c r="C275" s="108" t="str">
        <x:v>ANINDYASCARF</x:v>
      </x:c>
      <x:c r="D275" s="69" t="str">
        <x:v>PRD0136</x:v>
      </x:c>
      <x:c r="E275" s="69" t="str">
        <x:v>Rafea Dress - BW Pink (XL)</x:v>
      </x:c>
      <x:c r="F275" s="69" t="str">
        <x:v>BW Pink</x:v>
      </x:c>
      <x:c r="G275" s="69" t="str">
        <x:v>XL</x:v>
      </x:c>
      <x:c r="H275" s="84" t="n">
        <x:v>595000</x:v>
      </x:c>
      <x:c r="I275" s="90" t="n">
        <x:v>1</x:v>
      </x:c>
      <x:c r="J275" s="69" t="str">
        <x:f>IF(I275&lt;=0,"Habis",IF(I275&lt;=2,"Stok Terbatas","Tersedia"))</x:f>
        <x:v>Stok Terbatas</x:v>
      </x:c>
      <x:c r="K275" s="69" t="str">
        <x:v>Dress</x:v>
      </x:c>
      <x:c r="L275" s="69" t="str">
        <x:v>Aktif</x:v>
      </x:c>
      <x:c r="M275" s="70" t="str"/>
    </x:row>
    <x:row r="276">
      <x:c r="A276" s="96" t="str">
        <x:v>15M22079XX2</x:v>
      </x:c>
      <x:c r="B276" s="102" t="n">
        <x:v>15</x:v>
      </x:c>
      <x:c r="C276" s="108" t="str">
        <x:v>ANINDYASCARF</x:v>
      </x:c>
      <x:c r="D276" s="69" t="str">
        <x:v>PRD0136</x:v>
      </x:c>
      <x:c r="E276" s="69" t="str">
        <x:v>Rafea Dress - Purple (L)</x:v>
      </x:c>
      <x:c r="F276" s="69" t="str">
        <x:v>Purple</x:v>
      </x:c>
      <x:c r="G276" s="69" t="str">
        <x:v>L</x:v>
      </x:c>
      <x:c r="H276" s="84" t="n">
        <x:v>595000</x:v>
      </x:c>
      <x:c r="I276" s="90" t="n">
        <x:v>1</x:v>
      </x:c>
      <x:c r="J276" s="69" t="str">
        <x:f>IF(I276&lt;=0,"Habis",IF(I276&lt;=2,"Stok Terbatas","Tersedia"))</x:f>
        <x:v>Stok Terbatas</x:v>
      </x:c>
      <x:c r="K276" s="69" t="str">
        <x:v>Dress</x:v>
      </x:c>
      <x:c r="L276" s="69" t="str">
        <x:v>Aktif</x:v>
      </x:c>
      <x:c r="M276" s="70" t="str"/>
    </x:row>
    <x:row r="277">
      <x:c r="A277" s="96" t="str">
        <x:v>15M22078XX2</x:v>
      </x:c>
      <x:c r="B277" s="102" t="n">
        <x:v>15</x:v>
      </x:c>
      <x:c r="C277" s="108" t="str">
        <x:v>ANINDYASCARF</x:v>
      </x:c>
      <x:c r="D277" s="69" t="str">
        <x:v>PRD0136</x:v>
      </x:c>
      <x:c r="E277" s="69" t="str">
        <x:v>Rafea Dress - Purple (M)</x:v>
      </x:c>
      <x:c r="F277" s="69" t="str">
        <x:v>Purple</x:v>
      </x:c>
      <x:c r="G277" s="69" t="str">
        <x:v>M</x:v>
      </x:c>
      <x:c r="H277" s="84" t="n">
        <x:v>595000</x:v>
      </x:c>
      <x:c r="I277" s="90" t="n">
        <x:v>1</x:v>
      </x:c>
      <x:c r="J277" s="69" t="str">
        <x:f>IF(I277&lt;=0,"Habis",IF(I277&lt;=2,"Stok Terbatas","Tersedia"))</x:f>
        <x:v>Stok Terbatas</x:v>
      </x:c>
      <x:c r="K277" s="69" t="str">
        <x:v>Dress</x:v>
      </x:c>
      <x:c r="L277" s="69" t="str">
        <x:v>Aktif</x:v>
      </x:c>
      <x:c r="M277" s="70" t="str"/>
    </x:row>
    <x:row r="278">
      <x:c r="A278" s="96" t="str">
        <x:v>15M22080XX2</x:v>
      </x:c>
      <x:c r="B278" s="102" t="n">
        <x:v>15</x:v>
      </x:c>
      <x:c r="C278" s="108" t="str">
        <x:v>ANINDYASCARF</x:v>
      </x:c>
      <x:c r="D278" s="69" t="str">
        <x:v>PRD0136</x:v>
      </x:c>
      <x:c r="E278" s="69" t="str">
        <x:v>Rafea Dress - Purple (XL)</x:v>
      </x:c>
      <x:c r="F278" s="69" t="str">
        <x:v>Purple</x:v>
      </x:c>
      <x:c r="G278" s="69" t="str">
        <x:v>XL</x:v>
      </x:c>
      <x:c r="H278" s="84" t="n">
        <x:v>595000</x:v>
      </x:c>
      <x:c r="I278" s="90" t="n">
        <x:v>1</x:v>
      </x:c>
      <x:c r="J278" s="69" t="str">
        <x:f>IF(I278&lt;=0,"Habis",IF(I278&lt;=2,"Stok Terbatas","Tersedia"))</x:f>
        <x:v>Stok Terbatas</x:v>
      </x:c>
      <x:c r="K278" s="69" t="str">
        <x:v>Dress</x:v>
      </x:c>
      <x:c r="L278" s="69" t="str">
        <x:v>Aktif</x:v>
      </x:c>
      <x:c r="M278" s="70" t="str"/>
    </x:row>
    <x:row r="279">
      <x:c r="A279" s="96" t="str">
        <x:v>15M22667XX1</x:v>
      </x:c>
      <x:c r="B279" s="102" t="n">
        <x:v>15</x:v>
      </x:c>
      <x:c r="C279" s="108" t="str">
        <x:v>ANINDYASCARF</x:v>
      </x:c>
      <x:c r="D279" s="69" t="str">
        <x:v>PRD0137</x:v>
      </x:c>
      <x:c r="E279" s="69" t="str">
        <x:v>Ranjana Dress Anak - Woodsmoke (6y)</x:v>
      </x:c>
      <x:c r="F279" s="69" t="str">
        <x:v>Woodsmoke</x:v>
      </x:c>
      <x:c r="G279" s="69" t="str">
        <x:v>6y</x:v>
      </x:c>
      <x:c r="H279" s="84" t="n">
        <x:v>395000</x:v>
      </x:c>
      <x:c r="I279" s="90" t="n">
        <x:v>1</x:v>
      </x:c>
      <x:c r="J279" s="69" t="str">
        <x:f>IF(I279&lt;=0,"Habis",IF(I279&lt;=2,"Stok Terbatas","Tersedia"))</x:f>
        <x:v>Stok Terbatas</x:v>
      </x:c>
      <x:c r="K279" s="69" t="str">
        <x:v>Dress</x:v>
      </x:c>
      <x:c r="L279" s="69" t="str">
        <x:v>Aktif</x:v>
      </x:c>
      <x:c r="M279" s="70" t="str"/>
    </x:row>
    <x:row r="280">
      <x:c r="A280" s="96" t="str">
        <x:v>15M22668XX2</x:v>
      </x:c>
      <x:c r="B280" s="102" t="n">
        <x:v>15</x:v>
      </x:c>
      <x:c r="C280" s="108" t="str">
        <x:v>ANINDYASCARF</x:v>
      </x:c>
      <x:c r="D280" s="69" t="str">
        <x:v>PRD0137</x:v>
      </x:c>
      <x:c r="E280" s="69" t="str">
        <x:v>Ranjana Dress Anak - Woodsmoke (8y)</x:v>
      </x:c>
      <x:c r="F280" s="69" t="str">
        <x:v>Woodsmoke</x:v>
      </x:c>
      <x:c r="G280" s="69" t="str">
        <x:v>8y</x:v>
      </x:c>
      <x:c r="H280" s="84" t="n">
        <x:v>445000</x:v>
      </x:c>
      <x:c r="I280" s="90" t="n">
        <x:v>1</x:v>
      </x:c>
      <x:c r="J280" s="69" t="str">
        <x:f>IF(I280&lt;=0,"Habis",IF(I280&lt;=2,"Stok Terbatas","Tersedia"))</x:f>
        <x:v>Stok Terbatas</x:v>
      </x:c>
      <x:c r="K280" s="69" t="str">
        <x:v>Dress</x:v>
      </x:c>
      <x:c r="L280" s="69" t="str">
        <x:v>Aktif</x:v>
      </x:c>
      <x:c r="M280" s="70" t="str"/>
    </x:row>
    <x:row r="281">
      <x:c r="A281" s="96" t="str">
        <x:v>15M32653XY3</x:v>
      </x:c>
      <x:c r="B281" s="102" t="n">
        <x:v>15</x:v>
      </x:c>
      <x:c r="C281" s="108" t="str">
        <x:v>ANINDYASCARF</x:v>
      </x:c>
      <x:c r="D281" s="69" t="str">
        <x:v>PRD0139</x:v>
      </x:c>
      <x:c r="E281" s="69" t="str">
        <x:v>Ranjana Koko Anak - Woodsmoke (L)</x:v>
      </x:c>
      <x:c r="F281" s="69" t="str">
        <x:v>Woodsmoke</x:v>
      </x:c>
      <x:c r="G281" s="69" t="str">
        <x:v>L</x:v>
      </x:c>
      <x:c r="H281" s="84" t="n">
        <x:v>245000</x:v>
      </x:c>
      <x:c r="I281" s="90" t="n">
        <x:v>1</x:v>
      </x:c>
      <x:c r="J281" s="69" t="str">
        <x:f>IF(I281&lt;=0,"Habis",IF(I281&lt;=2,"Stok Terbatas","Tersedia"))</x:f>
        <x:v>Stok Terbatas</x:v>
      </x:c>
      <x:c r="K281" s="69" t="str">
        <x:v>Shirt</x:v>
      </x:c>
      <x:c r="L281" s="69" t="str">
        <x:v>Aktif</x:v>
      </x:c>
      <x:c r="M281" s="70" t="str"/>
    </x:row>
    <x:row r="282">
      <x:c r="A282" s="96" t="str">
        <x:v>15M31875XY3</x:v>
      </x:c>
      <x:c r="B282" s="102" t="n">
        <x:v>15</x:v>
      </x:c>
      <x:c r="C282" s="108" t="str">
        <x:v>ANINDYASCARF</x:v>
      </x:c>
      <x:c r="D282" s="69" t="str">
        <x:v>PRD0140</x:v>
      </x:c>
      <x:c r="E282" s="69" t="str">
        <x:v>Syauqi Koko Anak - Black (L)</x:v>
      </x:c>
      <x:c r="F282" s="69" t="str">
        <x:v>Black</x:v>
      </x:c>
      <x:c r="G282" s="69" t="str">
        <x:v>L</x:v>
      </x:c>
      <x:c r="H282" s="84" t="n">
        <x:v>235000</x:v>
      </x:c>
      <x:c r="I282" s="90" t="n">
        <x:v>1</x:v>
      </x:c>
      <x:c r="J282" s="69" t="str">
        <x:f>IF(I282&lt;=0,"Habis",IF(I282&lt;=2,"Stok Terbatas","Tersedia"))</x:f>
        <x:v>Stok Terbatas</x:v>
      </x:c>
      <x:c r="K282" s="69" t="str">
        <x:v>Shirt</x:v>
      </x:c>
      <x:c r="L282" s="69" t="str">
        <x:v>Aktif</x:v>
      </x:c>
      <x:c r="M282" s="70" t="str"/>
    </x:row>
    <x:row r="283">
      <x:c r="A283" s="96" t="str">
        <x:v>15M31874XY2</x:v>
      </x:c>
      <x:c r="B283" s="102" t="n">
        <x:v>15</x:v>
      </x:c>
      <x:c r="C283" s="108" t="str">
        <x:v>ANINDYASCARF</x:v>
      </x:c>
      <x:c r="D283" s="69" t="str">
        <x:v>PRD0140</x:v>
      </x:c>
      <x:c r="E283" s="69" t="str">
        <x:v>Syauqi Koko Anak - Black (M)</x:v>
      </x:c>
      <x:c r="F283" s="69" t="str">
        <x:v>Black</x:v>
      </x:c>
      <x:c r="G283" s="69" t="str">
        <x:v>M</x:v>
      </x:c>
      <x:c r="H283" s="84" t="n">
        <x:v>235000</x:v>
      </x:c>
      <x:c r="I283" s="90" t="n">
        <x:v>1</x:v>
      </x:c>
      <x:c r="J283" s="69" t="str">
        <x:f>IF(I283&lt;=0,"Habis",IF(I283&lt;=2,"Stok Terbatas","Tersedia"))</x:f>
        <x:v>Stok Terbatas</x:v>
      </x:c>
      <x:c r="K283" s="69" t="str">
        <x:v>Shirt</x:v>
      </x:c>
      <x:c r="L283" s="69" t="str">
        <x:v>Aktif</x:v>
      </x:c>
      <x:c r="M283" s="70" t="str"/>
    </x:row>
    <x:row r="284">
      <x:c r="A284" s="96" t="str">
        <x:v>15M31873XY1</x:v>
      </x:c>
      <x:c r="B284" s="102" t="n">
        <x:v>15</x:v>
      </x:c>
      <x:c r="C284" s="108" t="str">
        <x:v>ANINDYASCARF</x:v>
      </x:c>
      <x:c r="D284" s="69" t="str">
        <x:v>PRD0140</x:v>
      </x:c>
      <x:c r="E284" s="69" t="str">
        <x:v>Syauqi Koko Anak - Black (S)</x:v>
      </x:c>
      <x:c r="F284" s="69" t="str">
        <x:v>Black</x:v>
      </x:c>
      <x:c r="G284" s="69" t="str">
        <x:v>S</x:v>
      </x:c>
      <x:c r="H284" s="84" t="n">
        <x:v>235000</x:v>
      </x:c>
      <x:c r="I284" s="90" t="n">
        <x:v>1</x:v>
      </x:c>
      <x:c r="J284" s="69" t="str">
        <x:f>IF(I284&lt;=0,"Habis",IF(I284&lt;=2,"Stok Terbatas","Tersedia"))</x:f>
        <x:v>Stok Terbatas</x:v>
      </x:c>
      <x:c r="K284" s="69" t="str">
        <x:v>Shirt</x:v>
      </x:c>
      <x:c r="L284" s="69" t="str">
        <x:v>Aktif</x:v>
      </x:c>
      <x:c r="M284" s="70" t="str"/>
    </x:row>
    <x:row r="285">
      <x:c r="A285" s="96" t="str">
        <x:v>15M31876XY4</x:v>
      </x:c>
      <x:c r="B285" s="102" t="n">
        <x:v>15</x:v>
      </x:c>
      <x:c r="C285" s="108" t="str">
        <x:v>ANINDYASCARF</x:v>
      </x:c>
      <x:c r="D285" s="69" t="str">
        <x:v>PRD0140</x:v>
      </x:c>
      <x:c r="E285" s="69" t="str">
        <x:v>Syauqi Koko Anak - Black (XL)</x:v>
      </x:c>
      <x:c r="F285" s="69" t="str">
        <x:v>Black</x:v>
      </x:c>
      <x:c r="G285" s="69" t="str">
        <x:v>XL</x:v>
      </x:c>
      <x:c r="H285" s="84" t="n">
        <x:v>235000</x:v>
      </x:c>
      <x:c r="I285" s="90" t="n">
        <x:v>1</x:v>
      </x:c>
      <x:c r="J285" s="69" t="str">
        <x:f>IF(I285&lt;=0,"Habis",IF(I285&lt;=2,"Stok Terbatas","Tersedia"))</x:f>
        <x:v>Stok Terbatas</x:v>
      </x:c>
      <x:c r="K285" s="69" t="str">
        <x:v>Shirt</x:v>
      </x:c>
      <x:c r="L285" s="69" t="str">
        <x:v>Aktif</x:v>
      </x:c>
      <x:c r="M285" s="70" t="str"/>
    </x:row>
    <x:row r="286">
      <x:c r="A286" s="96" t="str">
        <x:v>15M31883XY3</x:v>
      </x:c>
      <x:c r="B286" s="102" t="n">
        <x:v>15</x:v>
      </x:c>
      <x:c r="C286" s="108" t="str">
        <x:v>ANINDYASCARF</x:v>
      </x:c>
      <x:c r="D286" s="69" t="str">
        <x:v>PRD0140</x:v>
      </x:c>
      <x:c r="E286" s="69" t="str">
        <x:v>Syauqi Koko Anak - Grey (L)</x:v>
      </x:c>
      <x:c r="F286" s="69" t="str">
        <x:v>Grey</x:v>
      </x:c>
      <x:c r="G286" s="69" t="str">
        <x:v>L</x:v>
      </x:c>
      <x:c r="H286" s="84" t="n">
        <x:v>235000</x:v>
      </x:c>
      <x:c r="I286" s="90" t="n">
        <x:v>1</x:v>
      </x:c>
      <x:c r="J286" s="69" t="str">
        <x:f>IF(I286&lt;=0,"Habis",IF(I286&lt;=2,"Stok Terbatas","Tersedia"))</x:f>
        <x:v>Stok Terbatas</x:v>
      </x:c>
      <x:c r="K286" s="69" t="str">
        <x:v>Shirt</x:v>
      </x:c>
      <x:c r="L286" s="69" t="str">
        <x:v>Aktif</x:v>
      </x:c>
      <x:c r="M286" s="70" t="str"/>
    </x:row>
    <x:row r="287">
      <x:c r="A287" s="96" t="str">
        <x:v>15M31882XY2</x:v>
      </x:c>
      <x:c r="B287" s="102" t="n">
        <x:v>15</x:v>
      </x:c>
      <x:c r="C287" s="108" t="str">
        <x:v>ANINDYASCARF</x:v>
      </x:c>
      <x:c r="D287" s="69" t="str">
        <x:v>PRD0140</x:v>
      </x:c>
      <x:c r="E287" s="69" t="str">
        <x:v>Syauqi Koko Anak - Grey (M)</x:v>
      </x:c>
      <x:c r="F287" s="69" t="str">
        <x:v>Grey</x:v>
      </x:c>
      <x:c r="G287" s="69" t="str">
        <x:v>M</x:v>
      </x:c>
      <x:c r="H287" s="84" t="n">
        <x:v>235000</x:v>
      </x:c>
      <x:c r="I287" s="90" t="n">
        <x:v>1</x:v>
      </x:c>
      <x:c r="J287" s="69" t="str">
        <x:f>IF(I287&lt;=0,"Habis",IF(I287&lt;=2,"Stok Terbatas","Tersedia"))</x:f>
        <x:v>Stok Terbatas</x:v>
      </x:c>
      <x:c r="K287" s="69" t="str">
        <x:v>Shirt</x:v>
      </x:c>
      <x:c r="L287" s="69" t="str">
        <x:v>Aktif</x:v>
      </x:c>
      <x:c r="M287" s="70" t="str"/>
    </x:row>
    <x:row r="288">
      <x:c r="A288" s="96" t="str">
        <x:v>15M31881XY1</x:v>
      </x:c>
      <x:c r="B288" s="102" t="n">
        <x:v>15</x:v>
      </x:c>
      <x:c r="C288" s="108" t="str">
        <x:v>ANINDYASCARF</x:v>
      </x:c>
      <x:c r="D288" s="69" t="str">
        <x:v>PRD0140</x:v>
      </x:c>
      <x:c r="E288" s="69" t="str">
        <x:v>Syauqi Koko Anak - Grey (S)</x:v>
      </x:c>
      <x:c r="F288" s="69" t="str">
        <x:v>Grey</x:v>
      </x:c>
      <x:c r="G288" s="69" t="str">
        <x:v>S</x:v>
      </x:c>
      <x:c r="H288" s="84" t="n">
        <x:v>235000</x:v>
      </x:c>
      <x:c r="I288" s="90" t="n">
        <x:v>1</x:v>
      </x:c>
      <x:c r="J288" s="69" t="str">
        <x:f>IF(I288&lt;=0,"Habis",IF(I288&lt;=2,"Stok Terbatas","Tersedia"))</x:f>
        <x:v>Stok Terbatas</x:v>
      </x:c>
      <x:c r="K288" s="69" t="str">
        <x:v>Shirt</x:v>
      </x:c>
      <x:c r="L288" s="69" t="str">
        <x:v>Aktif</x:v>
      </x:c>
      <x:c r="M288" s="70" t="str"/>
    </x:row>
    <x:row r="289">
      <x:c r="A289" s="96" t="str">
        <x:v>15M31884XY4</x:v>
      </x:c>
      <x:c r="B289" s="102" t="n">
        <x:v>15</x:v>
      </x:c>
      <x:c r="C289" s="108" t="str">
        <x:v>ANINDYASCARF</x:v>
      </x:c>
      <x:c r="D289" s="69" t="str">
        <x:v>PRD0140</x:v>
      </x:c>
      <x:c r="E289" s="69" t="str">
        <x:v>Syauqi Koko Anak - Grey (XL)</x:v>
      </x:c>
      <x:c r="F289" s="69" t="str">
        <x:v>Grey</x:v>
      </x:c>
      <x:c r="G289" s="69" t="str">
        <x:v>XL</x:v>
      </x:c>
      <x:c r="H289" s="84" t="n">
        <x:v>235000</x:v>
      </x:c>
      <x:c r="I289" s="90" t="n">
        <x:v>1</x:v>
      </x:c>
      <x:c r="J289" s="69" t="str">
        <x:f>IF(I289&lt;=0,"Habis",IF(I289&lt;=2,"Stok Terbatas","Tersedia"))</x:f>
        <x:v>Stok Terbatas</x:v>
      </x:c>
      <x:c r="K289" s="69" t="str">
        <x:v>Shirt</x:v>
      </x:c>
      <x:c r="L289" s="69" t="str">
        <x:v>Aktif</x:v>
      </x:c>
      <x:c r="M289" s="70" t="str"/>
    </x:row>
    <x:row r="290">
      <x:c r="A290" s="96" t="str">
        <x:v>15M31886XY2</x:v>
      </x:c>
      <x:c r="B290" s="102" t="n">
        <x:v>15</x:v>
      </x:c>
      <x:c r="C290" s="108" t="str">
        <x:v>ANINDYASCARF</x:v>
      </x:c>
      <x:c r="D290" s="69" t="str">
        <x:v>PRD0140</x:v>
      </x:c>
      <x:c r="E290" s="69" t="str">
        <x:v>Syauqi Koko Anak - Mocca (M)</x:v>
      </x:c>
      <x:c r="F290" s="69" t="str">
        <x:v>Mocca</x:v>
      </x:c>
      <x:c r="G290" s="69" t="str">
        <x:v>M</x:v>
      </x:c>
      <x:c r="H290" s="84" t="n">
        <x:v>235000</x:v>
      </x:c>
      <x:c r="I290" s="90" t="n">
        <x:v>1</x:v>
      </x:c>
      <x:c r="J290" s="69" t="str">
        <x:f>IF(I290&lt;=0,"Habis",IF(I290&lt;=2,"Stok Terbatas","Tersedia"))</x:f>
        <x:v>Stok Terbatas</x:v>
      </x:c>
      <x:c r="K290" s="69" t="str">
        <x:v>Shirt</x:v>
      </x:c>
      <x:c r="L290" s="69" t="str">
        <x:v>Aktif</x:v>
      </x:c>
      <x:c r="M290" s="70" t="str"/>
    </x:row>
    <x:row r="291">
      <x:c r="A291" s="96" t="str">
        <x:v>15M31885XY1</x:v>
      </x:c>
      <x:c r="B291" s="102" t="n">
        <x:v>15</x:v>
      </x:c>
      <x:c r="C291" s="108" t="str">
        <x:v>ANINDYASCARF</x:v>
      </x:c>
      <x:c r="D291" s="69" t="str">
        <x:v>PRD0140</x:v>
      </x:c>
      <x:c r="E291" s="69" t="str">
        <x:v>Syauqi Koko Anak - Mocca (S)</x:v>
      </x:c>
      <x:c r="F291" s="69" t="str">
        <x:v>Mocca</x:v>
      </x:c>
      <x:c r="G291" s="69" t="str">
        <x:v>S</x:v>
      </x:c>
      <x:c r="H291" s="84" t="n">
        <x:v>235000</x:v>
      </x:c>
      <x:c r="I291" s="90" t="n">
        <x:v>1</x:v>
      </x:c>
      <x:c r="J291" s="69" t="str">
        <x:f>IF(I291&lt;=0,"Habis",IF(I291&lt;=2,"Stok Terbatas","Tersedia"))</x:f>
        <x:v>Stok Terbatas</x:v>
      </x:c>
      <x:c r="K291" s="69" t="str">
        <x:v>Shirt</x:v>
      </x:c>
      <x:c r="L291" s="69" t="str">
        <x:v>Aktif</x:v>
      </x:c>
      <x:c r="M291" s="70" t="str"/>
    </x:row>
    <x:row r="292">
      <x:c r="A292" s="96" t="str">
        <x:v>15M31888XY4</x:v>
      </x:c>
      <x:c r="B292" s="102" t="n">
        <x:v>15</x:v>
      </x:c>
      <x:c r="C292" s="108" t="str">
        <x:v>ANINDYASCARF</x:v>
      </x:c>
      <x:c r="D292" s="69" t="str">
        <x:v>PRD0140</x:v>
      </x:c>
      <x:c r="E292" s="69" t="str">
        <x:v>Syauqi Koko Anak - Mocca (XL)</x:v>
      </x:c>
      <x:c r="F292" s="69" t="str">
        <x:v>Mocca</x:v>
      </x:c>
      <x:c r="G292" s="69" t="str">
        <x:v>XL</x:v>
      </x:c>
      <x:c r="H292" s="84" t="n">
        <x:v>235000</x:v>
      </x:c>
      <x:c r="I292" s="90" t="n">
        <x:v>1</x:v>
      </x:c>
      <x:c r="J292" s="69" t="str">
        <x:f>IF(I292&lt;=0,"Habis",IF(I292&lt;=2,"Stok Terbatas","Tersedia"))</x:f>
        <x:v>Stok Terbatas</x:v>
      </x:c>
      <x:c r="K292" s="69" t="str">
        <x:v>Shirt</x:v>
      </x:c>
      <x:c r="L292" s="69" t="str">
        <x:v>Aktif</x:v>
      </x:c>
      <x:c r="M292" s="70" t="str"/>
    </x:row>
    <x:row r="293">
      <x:c r="A293" s="96" t="str">
        <x:v>15M31891XY3</x:v>
      </x:c>
      <x:c r="B293" s="102" t="n">
        <x:v>15</x:v>
      </x:c>
      <x:c r="C293" s="108" t="str">
        <x:v>ANINDYASCARF</x:v>
      </x:c>
      <x:c r="D293" s="69" t="str">
        <x:v>PRD0140</x:v>
      </x:c>
      <x:c r="E293" s="69" t="str">
        <x:v>Syauqi Koko Anak - Purple (L)</x:v>
      </x:c>
      <x:c r="F293" s="69" t="str">
        <x:v>Purple</x:v>
      </x:c>
      <x:c r="G293" s="69" t="str">
        <x:v>L</x:v>
      </x:c>
      <x:c r="H293" s="84" t="n">
        <x:v>235000</x:v>
      </x:c>
      <x:c r="I293" s="90" t="n">
        <x:v>1</x:v>
      </x:c>
      <x:c r="J293" s="69" t="str">
        <x:f>IF(I293&lt;=0,"Habis",IF(I293&lt;=2,"Stok Terbatas","Tersedia"))</x:f>
        <x:v>Stok Terbatas</x:v>
      </x:c>
      <x:c r="K293" s="69" t="str">
        <x:v>Shirt</x:v>
      </x:c>
      <x:c r="L293" s="69" t="str">
        <x:v>Aktif</x:v>
      </x:c>
      <x:c r="M293" s="70" t="str"/>
    </x:row>
    <x:row r="294">
      <x:c r="A294" s="96" t="str">
        <x:v>15M31890XY2</x:v>
      </x:c>
      <x:c r="B294" s="102" t="n">
        <x:v>15</x:v>
      </x:c>
      <x:c r="C294" s="108" t="str">
        <x:v>ANINDYASCARF</x:v>
      </x:c>
      <x:c r="D294" s="69" t="str">
        <x:v>PRD0140</x:v>
      </x:c>
      <x:c r="E294" s="69" t="str">
        <x:v>Syauqi Koko Anak - Purple (M)</x:v>
      </x:c>
      <x:c r="F294" s="69" t="str">
        <x:v>Purple</x:v>
      </x:c>
      <x:c r="G294" s="69" t="str">
        <x:v>M</x:v>
      </x:c>
      <x:c r="H294" s="84" t="n">
        <x:v>235000</x:v>
      </x:c>
      <x:c r="I294" s="90" t="n">
        <x:v>1</x:v>
      </x:c>
      <x:c r="J294" s="69" t="str">
        <x:f>IF(I294&lt;=0,"Habis",IF(I294&lt;=2,"Stok Terbatas","Tersedia"))</x:f>
        <x:v>Stok Terbatas</x:v>
      </x:c>
      <x:c r="K294" s="69" t="str">
        <x:v>Shirt</x:v>
      </x:c>
      <x:c r="L294" s="69" t="str">
        <x:v>Aktif</x:v>
      </x:c>
      <x:c r="M294" s="70" t="str"/>
    </x:row>
    <x:row r="295">
      <x:c r="A295" s="96" t="str">
        <x:v>15M31889XY1</x:v>
      </x:c>
      <x:c r="B295" s="102" t="n">
        <x:v>15</x:v>
      </x:c>
      <x:c r="C295" s="108" t="str">
        <x:v>ANINDYASCARF</x:v>
      </x:c>
      <x:c r="D295" s="69" t="str">
        <x:v>PRD0140</x:v>
      </x:c>
      <x:c r="E295" s="69" t="str">
        <x:v>Syauqi Koko Anak - Purple (S)</x:v>
      </x:c>
      <x:c r="F295" s="69" t="str">
        <x:v>Purple</x:v>
      </x:c>
      <x:c r="G295" s="69" t="str">
        <x:v>S</x:v>
      </x:c>
      <x:c r="H295" s="84" t="n">
        <x:v>235000</x:v>
      </x:c>
      <x:c r="I295" s="90" t="n">
        <x:v>1</x:v>
      </x:c>
      <x:c r="J295" s="69" t="str">
        <x:f>IF(I295&lt;=0,"Habis",IF(I295&lt;=2,"Stok Terbatas","Tersedia"))</x:f>
        <x:v>Stok Terbatas</x:v>
      </x:c>
      <x:c r="K295" s="69" t="str">
        <x:v>Shirt</x:v>
      </x:c>
      <x:c r="L295" s="69" t="str">
        <x:v>Aktif</x:v>
      </x:c>
      <x:c r="M295" s="70" t="str"/>
    </x:row>
    <x:row r="296">
      <x:c r="A296" s="96" t="str">
        <x:v>17M12471XX0</x:v>
      </x:c>
      <x:c r="B296" s="102" t="n">
        <x:v>17</x:v>
      </x:c>
      <x:c r="C296" s="108" t="str">
        <x:v>WMD</x:v>
      </x:c>
      <x:c r="D296" s="69" t="str">
        <x:v>PRD0141</x:v>
      </x:c>
      <x:c r="E296" s="69" t="str">
        <x:v>Lou Instant Hijab (Sleek) - Ash Violet</x:v>
      </x:c>
      <x:c r="F296" s="69" t="str">
        <x:v>Ash Violet</x:v>
      </x:c>
      <x:c r="G296" s="69" t="str"/>
      <x:c r="H296" s="84" t="n">
        <x:v>99000</x:v>
      </x:c>
      <x:c r="I296" s="90" t="n">
        <x:v>2</x:v>
      </x:c>
      <x:c r="J296" s="69" t="str">
        <x:f>IF(I296&lt;=0,"Habis",IF(I296&lt;=2,"Stok Terbatas","Tersedia"))</x:f>
        <x:v>Stok Terbatas</x:v>
      </x:c>
      <x:c r="K296" s="69" t="str">
        <x:v>Hijab</x:v>
      </x:c>
      <x:c r="L296" s="69" t="str">
        <x:v>Aktif</x:v>
      </x:c>
      <x:c r="M296" s="70" t="str"/>
    </x:row>
    <x:row r="297">
      <x:c r="A297" s="96" t="str">
        <x:v>17M12472XX0</x:v>
      </x:c>
      <x:c r="B297" s="102" t="n">
        <x:v>17</x:v>
      </x:c>
      <x:c r="C297" s="108" t="str">
        <x:v>WMD</x:v>
      </x:c>
      <x:c r="D297" s="69" t="str">
        <x:v>PRD0141</x:v>
      </x:c>
      <x:c r="E297" s="69" t="str">
        <x:v>Lou Instant Hijab (Sleek) - Choco Latte</x:v>
      </x:c>
      <x:c r="F297" s="69" t="str">
        <x:v>Choco Latte</x:v>
      </x:c>
      <x:c r="G297" s="69" t="str"/>
      <x:c r="H297" s="84" t="n">
        <x:v>99000</x:v>
      </x:c>
      <x:c r="I297" s="90" t="n">
        <x:v>1</x:v>
      </x:c>
      <x:c r="J297" s="69" t="str">
        <x:f>IF(I297&lt;=0,"Habis",IF(I297&lt;=2,"Stok Terbatas","Tersedia"))</x:f>
        <x:v>Stok Terbatas</x:v>
      </x:c>
      <x:c r="K297" s="69" t="str">
        <x:v>Hijab</x:v>
      </x:c>
      <x:c r="L297" s="69" t="str">
        <x:v>Aktif</x:v>
      </x:c>
      <x:c r="M297" s="70" t="str"/>
    </x:row>
    <x:row r="298">
      <x:c r="A298" s="96" t="str">
        <x:v>17M12467XX0</x:v>
      </x:c>
      <x:c r="B298" s="102" t="n">
        <x:v>17</x:v>
      </x:c>
      <x:c r="C298" s="108" t="str">
        <x:v>WMD</x:v>
      </x:c>
      <x:c r="D298" s="69" t="str">
        <x:v>PRD0142</x:v>
      </x:c>
      <x:c r="E298" s="69" t="str">
        <x:v>Lou Instant Hijab (Wave) - Ivory</x:v>
      </x:c>
      <x:c r="F298" s="69" t="str">
        <x:v>Ivory</x:v>
      </x:c>
      <x:c r="G298" s="69" t="str"/>
      <x:c r="H298" s="84" t="n">
        <x:v>99000</x:v>
      </x:c>
      <x:c r="I298" s="90" t="n">
        <x:v>1</x:v>
      </x:c>
      <x:c r="J298" s="69" t="str">
        <x:f>IF(I298&lt;=0,"Habis",IF(I298&lt;=2,"Stok Terbatas","Tersedia"))</x:f>
        <x:v>Stok Terbatas</x:v>
      </x:c>
      <x:c r="K298" s="69" t="str">
        <x:v>Hijab</x:v>
      </x:c>
      <x:c r="L298" s="69" t="str">
        <x:v>Aktif</x:v>
      </x:c>
      <x:c r="M298" s="70" t="str"/>
    </x:row>
    <x:row r="299">
      <x:c r="A299" s="96" t="str">
        <x:v>17M11975XX0</x:v>
      </x:c>
      <x:c r="B299" s="102" t="n">
        <x:v>17</x:v>
      </x:c>
      <x:c r="C299" s="108" t="str">
        <x:v>WMD</x:v>
      </x:c>
      <x:c r="D299" s="69" t="str">
        <x:v>PRD0143</x:v>
      </x:c>
      <x:c r="E299" s="69" t="str">
        <x:v>Paris Japan - Salmon</x:v>
      </x:c>
      <x:c r="F299" s="69" t="str">
        <x:v>Salmon</x:v>
      </x:c>
      <x:c r="G299" s="69" t="str"/>
      <x:c r="H299" s="84" t="n">
        <x:v>119000</x:v>
      </x:c>
      <x:c r="I299" s="90" t="n">
        <x:v>1</x:v>
      </x:c>
      <x:c r="J299" s="69" t="str">
        <x:f>IF(I299&lt;=0,"Habis",IF(I299&lt;=2,"Stok Terbatas","Tersedia"))</x:f>
        <x:v>Stok Terbatas</x:v>
      </x:c>
      <x:c r="K299" s="69" t="str">
        <x:v>Hijab</x:v>
      </x:c>
      <x:c r="L299" s="69" t="str">
        <x:v>Aktif</x:v>
      </x:c>
      <x:c r="M299" s="70" t="str"/>
    </x:row>
    <x:row r="300">
      <x:c r="A300" s="96" t="str">
        <x:v>18M22144XX0</x:v>
      </x:c>
      <x:c r="B300" s="102" t="n">
        <x:v>18</x:v>
      </x:c>
      <x:c r="C300" s="108" t="str">
        <x:v>RAFIKA</x:v>
      </x:c>
      <x:c r="D300" s="69" t="str">
        <x:v>PRD0144</x:v>
      </x:c>
      <x:c r="E300" s="69" t="str">
        <x:v>Amabel Dress - Black</x:v>
      </x:c>
      <x:c r="F300" s="69" t="str">
        <x:v>Black</x:v>
      </x:c>
      <x:c r="G300" s="69" t="str"/>
      <x:c r="H300" s="84" t="n">
        <x:v>425000</x:v>
      </x:c>
      <x:c r="I300" s="90" t="n">
        <x:v>1</x:v>
      </x:c>
      <x:c r="J300" s="69" t="str">
        <x:f>IF(I300&lt;=0,"Habis",IF(I300&lt;=2,"Stok Terbatas","Tersedia"))</x:f>
        <x:v>Stok Terbatas</x:v>
      </x:c>
      <x:c r="K300" s="69" t="str">
        <x:v>Dress</x:v>
      </x:c>
      <x:c r="L300" s="69" t="str">
        <x:v>Aktif</x:v>
      </x:c>
      <x:c r="M300" s="70" t="str"/>
    </x:row>
    <x:row r="301">
      <x:c r="A301" s="96" t="str">
        <x:v>18M22145XX0</x:v>
      </x:c>
      <x:c r="B301" s="102" t="n">
        <x:v>18</x:v>
      </x:c>
      <x:c r="C301" s="108" t="str">
        <x:v>RAFIKA</x:v>
      </x:c>
      <x:c r="D301" s="69" t="str">
        <x:v>PRD0144</x:v>
      </x:c>
      <x:c r="E301" s="69" t="str">
        <x:v>Amabel Dress - Maroon</x:v>
      </x:c>
      <x:c r="F301" s="69" t="str">
        <x:v>Maroon</x:v>
      </x:c>
      <x:c r="G301" s="69" t="str"/>
      <x:c r="H301" s="84" t="n">
        <x:v>425000</x:v>
      </x:c>
      <x:c r="I301" s="90" t="n">
        <x:v>1</x:v>
      </x:c>
      <x:c r="J301" s="69" t="str">
        <x:f>IF(I301&lt;=0,"Habis",IF(I301&lt;=2,"Stok Terbatas","Tersedia"))</x:f>
        <x:v>Stok Terbatas</x:v>
      </x:c>
      <x:c r="K301" s="69" t="str">
        <x:v>Dress</x:v>
      </x:c>
      <x:c r="L301" s="69" t="str">
        <x:v>Aktif</x:v>
      </x:c>
      <x:c r="M301" s="70" t="str"/>
    </x:row>
    <x:row r="302">
      <x:c r="A302" s="96" t="str">
        <x:v>18M22142XX0</x:v>
      </x:c>
      <x:c r="B302" s="102" t="n">
        <x:v>18</x:v>
      </x:c>
      <x:c r="C302" s="108" t="str">
        <x:v>RAFIKA</x:v>
      </x:c>
      <x:c r="D302" s="69" t="str">
        <x:v>PRD0144</x:v>
      </x:c>
      <x:c r="E302" s="69" t="str">
        <x:v>Amabel Dress - Milo</x:v>
      </x:c>
      <x:c r="F302" s="69" t="str">
        <x:v>Milo</x:v>
      </x:c>
      <x:c r="G302" s="69" t="str"/>
      <x:c r="H302" s="84" t="n">
        <x:v>425000</x:v>
      </x:c>
      <x:c r="I302" s="90" t="n">
        <x:v>1</x:v>
      </x:c>
      <x:c r="J302" s="69" t="str">
        <x:f>IF(I302&lt;=0,"Habis",IF(I302&lt;=2,"Stok Terbatas","Tersedia"))</x:f>
        <x:v>Stok Terbatas</x:v>
      </x:c>
      <x:c r="K302" s="69" t="str">
        <x:v>Dress</x:v>
      </x:c>
      <x:c r="L302" s="69" t="str">
        <x:v>Aktif</x:v>
      </x:c>
      <x:c r="M302" s="70" t="str"/>
    </x:row>
    <x:row r="303">
      <x:c r="A303" s="96" t="str">
        <x:v>18M22143XX0</x:v>
      </x:c>
      <x:c r="B303" s="102" t="n">
        <x:v>18</x:v>
      </x:c>
      <x:c r="C303" s="108" t="str">
        <x:v>RAFIKA</x:v>
      </x:c>
      <x:c r="D303" s="69" t="str">
        <x:v>PRD0144</x:v>
      </x:c>
      <x:c r="E303" s="69" t="str">
        <x:v>Amabel Dress - Nill Green</x:v>
      </x:c>
      <x:c r="F303" s="69" t="str">
        <x:v>Nill Green</x:v>
      </x:c>
      <x:c r="G303" s="69" t="str"/>
      <x:c r="H303" s="84" t="n">
        <x:v>425000</x:v>
      </x:c>
      <x:c r="I303" s="90" t="n">
        <x:v>2</x:v>
      </x:c>
      <x:c r="J303" s="69" t="str">
        <x:f>IF(I303&lt;=0,"Habis",IF(I303&lt;=2,"Stok Terbatas","Tersedia"))</x:f>
        <x:v>Stok Terbatas</x:v>
      </x:c>
      <x:c r="K303" s="69" t="str">
        <x:v>Dress</x:v>
      </x:c>
      <x:c r="L303" s="69" t="str">
        <x:v>Aktif</x:v>
      </x:c>
      <x:c r="M303" s="70" t="str"/>
    </x:row>
    <x:row r="304">
      <x:c r="A304" s="96" t="str">
        <x:v>21M122560XX1</x:v>
      </x:c>
      <x:c r="B304" s="102" t="n">
        <x:v>21</x:v>
      </x:c>
      <x:c r="C304" s="108" t="str">
        <x:v>PRELOVED</x:v>
      </x:c>
      <x:c r="D304" s="69" t="str">
        <x:v>PRD0159</x:v>
      </x:c>
      <x:c r="E304" s="69" t="str">
        <x:v>3x Klamby - Andaya Tunic (S)</x:v>
      </x:c>
      <x:c r="F304" s="69" t="str"/>
      <x:c r="G304" s="69" t="str">
        <x:v>S</x:v>
      </x:c>
      <x:c r="H304" s="84" t="n">
        <x:v>300000</x:v>
      </x:c>
      <x:c r="I304" s="90" t="n">
        <x:v>1</x:v>
      </x:c>
      <x:c r="J304" s="69" t="str">
        <x:f>IF(I304&lt;=0,"Habis",IF(I304&lt;=2,"Stok Terbatas","Tersedia"))</x:f>
        <x:v>Stok Terbatas</x:v>
      </x:c>
      <x:c r="K304" s="69" t="str">
        <x:v>Tunic</x:v>
      </x:c>
      <x:c r="L304" s="69" t="str">
        <x:v>Aktif</x:v>
      </x:c>
      <x:c r="M304" s="70" t="str"/>
    </x:row>
    <x:row r="305">
      <x:c r="A305" s="96" t="str">
        <x:v>21M132449XX2</x:v>
      </x:c>
      <x:c r="B305" s="102" t="n">
        <x:v>21</x:v>
      </x:c>
      <x:c r="C305" s="108" t="str">
        <x:v>PRELOVED</x:v>
      </x:c>
      <x:c r="D305" s="69" t="str">
        <x:v>PRD0147</x:v>
      </x:c>
      <x:c r="E305" s="69" t="str">
        <x:v>BS x Laica - Athleisure Legging (M)</x:v>
      </x:c>
      <x:c r="F305" s="69" t="str"/>
      <x:c r="G305" s="69" t="str">
        <x:v>M</x:v>
      </x:c>
      <x:c r="H305" s="84" t="n">
        <x:v>235000</x:v>
      </x:c>
      <x:c r="I305" s="90" t="n">
        <x:v>1</x:v>
      </x:c>
      <x:c r="J305" s="69" t="str">
        <x:f>IF(I305&lt;=0,"Habis",IF(I305&lt;=2,"Stok Terbatas","Tersedia"))</x:f>
        <x:v>Stok Terbatas</x:v>
      </x:c>
      <x:c r="K305" s="69" t="str">
        <x:v>Pants</x:v>
      </x:c>
      <x:c r="L305" s="69" t="str">
        <x:v>Aktif</x:v>
      </x:c>
      <x:c r="M305" s="70" t="str"/>
    </x:row>
    <x:row r="306">
      <x:c r="A306" s="96" t="str">
        <x:v>21M22787XX2</x:v>
      </x:c>
      <x:c r="B306" s="102" t="n">
        <x:v>21</x:v>
      </x:c>
      <x:c r="C306" s="108" t="str">
        <x:v>PRELOVED</x:v>
      </x:c>
      <x:c r="D306" s="69" t="str">
        <x:v>PRD0146</x:v>
      </x:c>
      <x:c r="E306" s="69" t="str">
        <x:v>Famouscarf 2 Dress (M)</x:v>
      </x:c>
      <x:c r="F306" s="69" t="str"/>
      <x:c r="G306" s="69" t="str">
        <x:v>M</x:v>
      </x:c>
      <x:c r="H306" s="84" t="n">
        <x:v>200000</x:v>
      </x:c>
      <x:c r="I306" s="90" t="n">
        <x:v>1</x:v>
      </x:c>
      <x:c r="J306" s="69" t="str">
        <x:f>IF(I306&lt;=0,"Habis",IF(I306&lt;=2,"Stok Terbatas","Tersedia"))</x:f>
        <x:v>Stok Terbatas</x:v>
      </x:c>
      <x:c r="K306" s="69" t="str">
        <x:v>Dress</x:v>
      </x:c>
      <x:c r="L306" s="69" t="str">
        <x:v>Aktif</x:v>
      </x:c>
      <x:c r="M306" s="70" t="str"/>
    </x:row>
    <x:row r="307">
      <x:c r="A307" s="96" t="str">
        <x:v>21M132437XX2</x:v>
      </x:c>
      <x:c r="B307" s="102" t="n">
        <x:v>21</x:v>
      </x:c>
      <x:c r="C307" s="108" t="str">
        <x:v>PRELOVED</x:v>
      </x:c>
      <x:c r="D307" s="69" t="str">
        <x:v>PRD0148</x:v>
      </x:c>
      <x:c r="E307" s="69" t="str">
        <x:v>Kienka - Millow Pants - White (M)</x:v>
      </x:c>
      <x:c r="F307" s="69" t="str">
        <x:v>White</x:v>
      </x:c>
      <x:c r="G307" s="69" t="str">
        <x:v>M</x:v>
      </x:c>
      <x:c r="H307" s="84" t="n">
        <x:v>185000</x:v>
      </x:c>
      <x:c r="I307" s="90" t="n">
        <x:v>1</x:v>
      </x:c>
      <x:c r="J307" s="69" t="str">
        <x:f>IF(I307&lt;=0,"Habis",IF(I307&lt;=2,"Stok Terbatas","Tersedia"))</x:f>
        <x:v>Stok Terbatas</x:v>
      </x:c>
      <x:c r="K307" s="69" t="str">
        <x:v>Pants</x:v>
      </x:c>
      <x:c r="L307" s="69" t="str">
        <x:v>Aktif</x:v>
      </x:c>
      <x:c r="M307" s="70" t="str"/>
    </x:row>
    <x:row r="308">
      <x:c r="A308" s="96" t="str">
        <x:v>21M32735XY2</x:v>
      </x:c>
      <x:c r="B308" s="102" t="n">
        <x:v>21</x:v>
      </x:c>
      <x:c r="C308" s="108" t="str">
        <x:v>PRELOVED</x:v>
      </x:c>
      <x:c r="D308" s="69" t="str">
        <x:v>PRD0150</x:v>
      </x:c>
      <x:c r="E308" s="69" t="str">
        <x:v>Niaz Koko Kids (5-6)</x:v>
      </x:c>
      <x:c r="F308" s="69" t="str"/>
      <x:c r="G308" s="69" t="str">
        <x:v>5-6</x:v>
      </x:c>
      <x:c r="H308" s="84" t="n">
        <x:v>185000</x:v>
      </x:c>
      <x:c r="I308" s="90" t="n">
        <x:v>1</x:v>
      </x:c>
      <x:c r="J308" s="69" t="str">
        <x:f>IF(I308&lt;=0,"Habis",IF(I308&lt;=2,"Stok Terbatas","Tersedia"))</x:f>
        <x:v>Stok Terbatas</x:v>
      </x:c>
      <x:c r="K308" s="69" t="str">
        <x:v>Shirt</x:v>
      </x:c>
      <x:c r="L308" s="69" t="str">
        <x:v>Aktif</x:v>
      </x:c>
      <x:c r="M308" s="70" t="str"/>
    </x:row>
    <x:row r="309">
      <x:c r="A309" s="96" t="str">
        <x:v>21M192903XY0</x:v>
      </x:c>
      <x:c r="B309" s="102" t="n">
        <x:v>21</x:v>
      </x:c>
      <x:c r="C309" s="108" t="str">
        <x:v>PRELOVED</x:v>
      </x:c>
      <x:c r="D309" s="69" t="str">
        <x:v>PRD0153</x:v>
      </x:c>
      <x:c r="E309" s="69" t="str">
        <x:v>Nike Air Max (White - US 1Y)</x:v>
      </x:c>
      <x:c r="F309" s="69" t="str">
        <x:v>White - US 1Y</x:v>
      </x:c>
      <x:c r="G309" s="69" t="str"/>
      <x:c r="H309" s="84" t="n">
        <x:v>450000</x:v>
      </x:c>
      <x:c r="I309" s="90" t="n">
        <x:v>1</x:v>
      </x:c>
      <x:c r="J309" s="69" t="str">
        <x:f>IF(I309&lt;=0,"Habis",IF(I309&lt;=2,"Stok Terbatas","Tersedia"))</x:f>
        <x:v>Stok Terbatas</x:v>
      </x:c>
      <x:c r="K309" s="69" t="str">
        <x:v>Shoes</x:v>
      </x:c>
      <x:c r="L309" s="69" t="str">
        <x:v>Aktif</x:v>
      </x:c>
      <x:c r="M309" s="70" t="str"/>
    </x:row>
    <x:row r="310">
      <x:c r="A310" s="96" t="str">
        <x:v>21M192904XY0</x:v>
      </x:c>
      <x:c r="B310" s="102" t="n">
        <x:v>21</x:v>
      </x:c>
      <x:c r="C310" s="108" t="str">
        <x:v>PRELOVED</x:v>
      </x:c>
      <x:c r="D310" s="69" t="str">
        <x:v>PRD0154</x:v>
      </x:c>
      <x:c r="E310" s="69" t="str">
        <x:v>Nike Omni Multi Court Little Kids (Black)</x:v>
      </x:c>
      <x:c r="F310" s="69" t="str">
        <x:v>Black</x:v>
      </x:c>
      <x:c r="G310" s="69" t="str"/>
      <x:c r="H310" s="84" t="n">
        <x:v>200000</x:v>
      </x:c>
      <x:c r="I310" s="90" t="n">
        <x:v>1</x:v>
      </x:c>
      <x:c r="J310" s="69" t="str">
        <x:f>IF(I310&lt;=0,"Habis",IF(I310&lt;=2,"Stok Terbatas","Tersedia"))</x:f>
        <x:v>Stok Terbatas</x:v>
      </x:c>
      <x:c r="K310" s="69" t="str">
        <x:v>Shoes</x:v>
      </x:c>
      <x:c r="L310" s="69" t="str">
        <x:v>Aktif</x:v>
      </x:c>
      <x:c r="M310" s="70" t="str"/>
    </x:row>
    <x:row r="311">
      <x:c r="A311" s="96" t="str">
        <x:v>21M192906XX0</x:v>
      </x:c>
      <x:c r="B311" s="102" t="n">
        <x:v>21</x:v>
      </x:c>
      <x:c r="C311" s="108" t="str">
        <x:v>PRELOVED</x:v>
      </x:c>
      <x:c r="D311" s="69" t="str">
        <x:v>PRD0155</x:v>
      </x:c>
      <x:c r="E311" s="69" t="str">
        <x:v>Nike Women Air Max 280 React (Cinnamon Gold)</x:v>
      </x:c>
      <x:c r="F311" s="69" t="str">
        <x:v>Cinnamon Gold</x:v>
      </x:c>
      <x:c r="G311" s="69" t="str"/>
      <x:c r="H311" s="84" t="n">
        <x:v>600000</x:v>
      </x:c>
      <x:c r="I311" s="90" t="n">
        <x:v>1</x:v>
      </x:c>
      <x:c r="J311" s="69" t="str">
        <x:f>IF(I311&lt;=0,"Habis",IF(I311&lt;=2,"Stok Terbatas","Tersedia"))</x:f>
        <x:v>Stok Terbatas</x:v>
      </x:c>
      <x:c r="K311" s="69" t="str">
        <x:v>Shoes</x:v>
      </x:c>
      <x:c r="L311" s="69" t="str">
        <x:v>Aktif</x:v>
      </x:c>
      <x:c r="M311" s="70" t="str"/>
    </x:row>
    <x:row r="312">
      <x:c r="A312" s="96" t="str">
        <x:v>21M32548XY1</x:v>
      </x:c>
      <x:c r="B312" s="102" t="n">
        <x:v>21</x:v>
      </x:c>
      <x:c r="C312" s="108" t="str">
        <x:v>PRELOVED</x:v>
      </x:c>
      <x:c r="D312" s="69" t="str">
        <x:v>PRD0151</x:v>
      </x:c>
      <x:c r="E312" s="69" t="str">
        <x:v>RM - Rasuna Koko Kids (S)</x:v>
      </x:c>
      <x:c r="F312" s="69" t="str"/>
      <x:c r="G312" s="69" t="str">
        <x:v>S</x:v>
      </x:c>
      <x:c r="H312" s="84" t="n">
        <x:v>150000</x:v>
      </x:c>
      <x:c r="I312" s="90" t="n">
        <x:v>1</x:v>
      </x:c>
      <x:c r="J312" s="69" t="str">
        <x:f>IF(I312&lt;=0,"Habis",IF(I312&lt;=2,"Stok Terbatas","Tersedia"))</x:f>
        <x:v>Stok Terbatas</x:v>
      </x:c>
      <x:c r="K312" s="69" t="str">
        <x:v>Shirt</x:v>
      </x:c>
      <x:c r="L312" s="69" t="str">
        <x:v>Aktif</x:v>
      </x:c>
      <x:c r="M312" s="70" t="str"/>
    </x:row>
    <x:row r="313">
      <x:c r="A313" s="96" t="str">
        <x:v>21M32895XX0</x:v>
      </x:c>
      <x:c r="B313" s="102" t="n">
        <x:v>21</x:v>
      </x:c>
      <x:c r="C313" s="108" t="str">
        <x:v>PRELOVED</x:v>
      </x:c>
      <x:c r="D313" s="69" t="str">
        <x:v>PRD0152</x:v>
      </x:c>
      <x:c r="E313" s="69" t="str">
        <x:v>Sarah The Label - Inner Gold Muda</x:v>
      </x:c>
      <x:c r="F313" s="69" t="str"/>
      <x:c r="G313" s="69" t="str"/>
      <x:c r="H313" s="84" t="n">
        <x:v>90000</x:v>
      </x:c>
      <x:c r="I313" s="90" t="n">
        <x:v>1</x:v>
      </x:c>
      <x:c r="J313" s="69" t="str">
        <x:f>IF(I313&lt;=0,"Habis",IF(I313&lt;=2,"Stok Terbatas","Tersedia"))</x:f>
        <x:v>Stok Terbatas</x:v>
      </x:c>
      <x:c r="K313" s="69" t="str">
        <x:v>Shirt</x:v>
      </x:c>
      <x:c r="L313" s="69" t="str">
        <x:v>Aktif</x:v>
      </x:c>
      <x:c r="M313" s="70" t="str"/>
    </x:row>
    <x:row r="314">
      <x:c r="A314" s="96" t="str">
        <x:v>21M92894XX0</x:v>
      </x:c>
      <x:c r="B314" s="102" t="n">
        <x:v>21</x:v>
      </x:c>
      <x:c r="C314" s="108" t="str">
        <x:v>PRELOVED</x:v>
      </x:c>
      <x:c r="D314" s="69" t="str">
        <x:v>PRD0157</x:v>
      </x:c>
      <x:c r="E314" s="69" t="str">
        <x:v>Sarah The Label - Rok Lilit Set Outer Batik</x:v>
      </x:c>
      <x:c r="F314" s="69" t="str"/>
      <x:c r="G314" s="69" t="str"/>
      <x:c r="H314" s="84" t="n">
        <x:v>200000</x:v>
      </x:c>
      <x:c r="I314" s="90" t="n">
        <x:v>1</x:v>
      </x:c>
      <x:c r="J314" s="69" t="str">
        <x:f>IF(I314&lt;=0,"Habis",IF(I314&lt;=2,"Stok Terbatas","Tersedia"))</x:f>
        <x:v>Stok Terbatas</x:v>
      </x:c>
      <x:c r="K314" s="69" t="str">
        <x:v>Skirt</x:v>
      </x:c>
      <x:c r="L314" s="69" t="str">
        <x:v>Aktif</x:v>
      </x:c>
      <x:c r="M314" s="70" t="str"/>
    </x:row>
    <x:row r="315">
      <x:c r="A315" s="96" t="str">
        <x:v>21M92897XX0</x:v>
      </x:c>
      <x:c r="B315" s="102" t="n">
        <x:v>21</x:v>
      </x:c>
      <x:c r="C315" s="108" t="str">
        <x:v>PRELOVED</x:v>
      </x:c>
      <x:c r="D315" s="69" t="str">
        <x:v>PRD0158</x:v>
      </x:c>
      <x:c r="E315" s="69" t="str">
        <x:v>Sarah The Label - Set Outer inner + Rok lilit</x:v>
      </x:c>
      <x:c r="F315" s="69" t="str"/>
      <x:c r="G315" s="69" t="str"/>
      <x:c r="H315" s="84" t="n">
        <x:v>285000</x:v>
      </x:c>
      <x:c r="I315" s="90" t="n">
        <x:v>1</x:v>
      </x:c>
      <x:c r="J315" s="69" t="str">
        <x:f>IF(I315&lt;=0,"Habis",IF(I315&lt;=2,"Stok Terbatas","Tersedia"))</x:f>
        <x:v>Stok Terbatas</x:v>
      </x:c>
      <x:c r="K315" s="69" t="str">
        <x:v>Skirt</x:v>
      </x:c>
      <x:c r="L315" s="69" t="str">
        <x:v>Aktif</x:v>
      </x:c>
      <x:c r="M315" s="70" t="str"/>
    </x:row>
    <x:row r="316">
      <x:c r="A316" s="96" t="str">
        <x:v>21M132896XX0</x:v>
      </x:c>
      <x:c r="B316" s="102" t="n">
        <x:v>21</x:v>
      </x:c>
      <x:c r="C316" s="108" t="str">
        <x:v>PRELOVED</x:v>
      </x:c>
      <x:c r="D316" s="69" t="str">
        <x:v>PRD0149</x:v>
      </x:c>
      <x:c r="E316" s="69" t="str">
        <x:v>Sarah The Label - Viscose Pants Semi Cutbray</x:v>
      </x:c>
      <x:c r="F316" s="69" t="str"/>
      <x:c r="G316" s="69" t="str"/>
      <x:c r="H316" s="84" t="n">
        <x:v>185000</x:v>
      </x:c>
      <x:c r="I316" s="90" t="n">
        <x:v>1</x:v>
      </x:c>
      <x:c r="J316" s="69" t="str">
        <x:f>IF(I316&lt;=0,"Habis",IF(I316&lt;=2,"Stok Terbatas","Tersedia"))</x:f>
        <x:v>Stok Terbatas</x:v>
      </x:c>
      <x:c r="K316" s="69" t="str">
        <x:v>Pants</x:v>
      </x:c>
      <x:c r="L316" s="69" t="str">
        <x:v>Aktif</x:v>
      </x:c>
      <x:c r="M316" s="70" t="str"/>
    </x:row>
    <x:row r="317">
      <x:c r="A317" s="96" t="str">
        <x:v>21M192897XX0</x:v>
      </x:c>
      <x:c r="B317" s="102" t="n">
        <x:v>21</x:v>
      </x:c>
      <x:c r="C317" s="108" t="str">
        <x:v>PRELOVED</x:v>
      </x:c>
      <x:c r="D317" s="69" t="str">
        <x:v>PRD0156</x:v>
      </x:c>
      <x:c r="E317" s="69" t="str">
        <x:v>Shoes PO China - Silver 39</x:v>
      </x:c>
      <x:c r="F317" s="69" t="str">
        <x:v>Silver</x:v>
      </x:c>
      <x:c r="G317" s="69" t="str">
        <x:v>39</x:v>
      </x:c>
      <x:c r="H317" s="84" t="n">
        <x:v>250000</x:v>
      </x:c>
      <x:c r="I317" s="90" t="n">
        <x:v>1</x:v>
      </x:c>
      <x:c r="J317" s="69" t="str">
        <x:f>IF(I317&lt;=0,"Habis",IF(I317&lt;=2,"Stok Terbatas","Tersedia"))</x:f>
        <x:v>Stok Terbatas</x:v>
      </x:c>
      <x:c r="K317" s="69" t="str">
        <x:v>Shoes</x:v>
      </x:c>
      <x:c r="L317" s="69" t="str">
        <x:v>Aktif</x:v>
      </x:c>
      <x:c r="M317" s="70" t="str"/>
    </x:row>
    <x:row r="318">
      <x:c r="A318" s="96" t="str">
        <x:v>21M152556XX0</x:v>
      </x:c>
      <x:c r="B318" s="102" t="n">
        <x:v>21</x:v>
      </x:c>
      <x:c r="C318" s="108" t="str">
        <x:v>PRELOVED</x:v>
      </x:c>
      <x:c r="D318" s="69" t="str">
        <x:v>PRD0145</x:v>
      </x:c>
      <x:c r="E318" s="69" t="str">
        <x:v>Slight Clutch</x:v>
      </x:c>
      <x:c r="F318" s="69" t="str"/>
      <x:c r="G318" s="69" t="str"/>
      <x:c r="H318" s="84" t="n">
        <x:v>75000</x:v>
      </x:c>
      <x:c r="I318" s="90" t="n">
        <x:v>1</x:v>
      </x:c>
      <x:c r="J318" s="69" t="str">
        <x:f>IF(I318&lt;=0,"Habis",IF(I318&lt;=2,"Stok Terbatas","Tersedia"))</x:f>
        <x:v>Stok Terbatas</x:v>
      </x:c>
      <x:c r="K318" s="69" t="str">
        <x:v>Bag</x:v>
      </x:c>
      <x:c r="L318" s="69" t="str">
        <x:v>Aktif</x:v>
      </x:c>
      <x:c r="M318" s="70" t="str"/>
    </x:row>
    <x:row r="319">
      <x:c r="A319" s="96" t="str">
        <x:v>22M22587XX2</x:v>
      </x:c>
      <x:c r="B319" s="102" t="n">
        <x:v>22</x:v>
      </x:c>
      <x:c r="C319" s="108" t="str">
        <x:v>KAMILA WARDROBE</x:v>
      </x:c>
      <x:c r="D319" s="69" t="str">
        <x:v>PRD0160</x:v>
      </x:c>
      <x:c r="E319" s="69" t="str">
        <x:v>Alur Dress Kids - Broken White (M)</x:v>
      </x:c>
      <x:c r="F319" s="69" t="str">
        <x:v>Broken White</x:v>
      </x:c>
      <x:c r="G319" s="69" t="str">
        <x:v>M</x:v>
      </x:c>
      <x:c r="H319" s="84" t="n">
        <x:v>435000</x:v>
      </x:c>
      <x:c r="I319" s="90" t="n">
        <x:v>1</x:v>
      </x:c>
      <x:c r="J319" s="69" t="str">
        <x:f>IF(I319&lt;=0,"Habis",IF(I319&lt;=2,"Stok Terbatas","Tersedia"))</x:f>
        <x:v>Stok Terbatas</x:v>
      </x:c>
      <x:c r="K319" s="69" t="str">
        <x:v>Dress</x:v>
      </x:c>
      <x:c r="L319" s="69" t="str">
        <x:v>Aktif</x:v>
      </x:c>
      <x:c r="M319" s="70" t="str"/>
    </x:row>
    <x:row r="320">
      <x:c r="A320" s="96" t="str">
        <x:v>22M22586XX1</x:v>
      </x:c>
      <x:c r="B320" s="102" t="n">
        <x:v>22</x:v>
      </x:c>
      <x:c r="C320" s="108" t="str">
        <x:v>KAMILA WARDROBE</x:v>
      </x:c>
      <x:c r="D320" s="69" t="str">
        <x:v>PRD0160</x:v>
      </x:c>
      <x:c r="E320" s="69" t="str">
        <x:v>Alur Dress Kids - Broken White (S)</x:v>
      </x:c>
      <x:c r="F320" s="69" t="str">
        <x:v>Broken White</x:v>
      </x:c>
      <x:c r="G320" s="69" t="str">
        <x:v>S</x:v>
      </x:c>
      <x:c r="H320" s="84" t="n">
        <x:v>435000</x:v>
      </x:c>
      <x:c r="I320" s="90" t="n">
        <x:v>1</x:v>
      </x:c>
      <x:c r="J320" s="69" t="str">
        <x:f>IF(I320&lt;=0,"Habis",IF(I320&lt;=2,"Stok Terbatas","Tersedia"))</x:f>
        <x:v>Stok Terbatas</x:v>
      </x:c>
      <x:c r="K320" s="69" t="str">
        <x:v>Dress</x:v>
      </x:c>
      <x:c r="L320" s="69" t="str">
        <x:v>Aktif</x:v>
      </x:c>
      <x:c r="M320" s="70" t="str"/>
    </x:row>
    <x:row r="321">
      <x:c r="A321" s="96" t="str">
        <x:v>22M22582XX2</x:v>
      </x:c>
      <x:c r="B321" s="102" t="n">
        <x:v>22</x:v>
      </x:c>
      <x:c r="C321" s="108" t="str">
        <x:v>KAMILA WARDROBE</x:v>
      </x:c>
      <x:c r="D321" s="69" t="str">
        <x:v>PRD0160</x:v>
      </x:c>
      <x:c r="E321" s="69" t="str">
        <x:v>Alur Dress Kids - Powder Blue (M)</x:v>
      </x:c>
      <x:c r="F321" s="69" t="str">
        <x:v>Powder Blue</x:v>
      </x:c>
      <x:c r="G321" s="69" t="str">
        <x:v>M</x:v>
      </x:c>
      <x:c r="H321" s="84" t="n">
        <x:v>435000</x:v>
      </x:c>
      <x:c r="I321" s="90" t="n">
        <x:v>1</x:v>
      </x:c>
      <x:c r="J321" s="69" t="str">
        <x:f>IF(I321&lt;=0,"Habis",IF(I321&lt;=2,"Stok Terbatas","Tersedia"))</x:f>
        <x:v>Stok Terbatas</x:v>
      </x:c>
      <x:c r="K321" s="69" t="str">
        <x:v>Dress</x:v>
      </x:c>
      <x:c r="L321" s="69" t="str">
        <x:v>Aktif</x:v>
      </x:c>
      <x:c r="M321" s="70" t="str"/>
    </x:row>
    <x:row r="322">
      <x:c r="A322" s="96" t="str">
        <x:v>22M22581XX1</x:v>
      </x:c>
      <x:c r="B322" s="102" t="n">
        <x:v>22</x:v>
      </x:c>
      <x:c r="C322" s="108" t="str">
        <x:v>KAMILA WARDROBE</x:v>
      </x:c>
      <x:c r="D322" s="69" t="str">
        <x:v>PRD0160</x:v>
      </x:c>
      <x:c r="E322" s="69" t="str">
        <x:v>Alur Dress Kids - Powder Blue (S)</x:v>
      </x:c>
      <x:c r="F322" s="69" t="str">
        <x:v>Powder Blue</x:v>
      </x:c>
      <x:c r="G322" s="69" t="str">
        <x:v>S</x:v>
      </x:c>
      <x:c r="H322" s="84" t="n">
        <x:v>435000</x:v>
      </x:c>
      <x:c r="I322" s="90" t="n">
        <x:v>1</x:v>
      </x:c>
      <x:c r="J322" s="69" t="str">
        <x:f>IF(I322&lt;=0,"Habis",IF(I322&lt;=2,"Stok Terbatas","Tersedia"))</x:f>
        <x:v>Stok Terbatas</x:v>
      </x:c>
      <x:c r="K322" s="69" t="str">
        <x:v>Dress</x:v>
      </x:c>
      <x:c r="L322" s="69" t="str">
        <x:v>Aktif</x:v>
      </x:c>
      <x:c r="M322" s="70" t="str"/>
    </x:row>
    <x:row r="323">
      <x:c r="A323" s="96" t="str">
        <x:v>22M32574XY3</x:v>
      </x:c>
      <x:c r="B323" s="102" t="n">
        <x:v>22</x:v>
      </x:c>
      <x:c r="C323" s="108" t="str">
        <x:v>KAMILA WARDROBE</x:v>
      </x:c>
      <x:c r="D323" s="69" t="str">
        <x:v>PRD0165</x:v>
      </x:c>
      <x:c r="E323" s="69" t="str">
        <x:v>Alur Koko - Broken White (L)</x:v>
      </x:c>
      <x:c r="F323" s="69" t="str">
        <x:v>Broken White</x:v>
      </x:c>
      <x:c r="G323" s="69" t="str">
        <x:v>L</x:v>
      </x:c>
      <x:c r="H323" s="84" t="n">
        <x:v>425000</x:v>
      </x:c>
      <x:c r="I323" s="90" t="n">
        <x:v>1</x:v>
      </x:c>
      <x:c r="J323" s="69" t="str">
        <x:f>IF(I323&lt;=0,"Habis",IF(I323&lt;=2,"Stok Terbatas","Tersedia"))</x:f>
        <x:v>Stok Terbatas</x:v>
      </x:c>
      <x:c r="K323" s="69" t="str">
        <x:v>Shirt</x:v>
      </x:c>
      <x:c r="L323" s="69" t="str">
        <x:v>Aktif</x:v>
      </x:c>
      <x:c r="M323" s="70" t="str"/>
    </x:row>
    <x:row r="324">
      <x:c r="A324" s="96" t="str">
        <x:v>22M32572XY1</x:v>
      </x:c>
      <x:c r="B324" s="102" t="n">
        <x:v>22</x:v>
      </x:c>
      <x:c r="C324" s="108" t="str">
        <x:v>KAMILA WARDROBE</x:v>
      </x:c>
      <x:c r="D324" s="69" t="str">
        <x:v>PRD0165</x:v>
      </x:c>
      <x:c r="E324" s="69" t="str">
        <x:v>Alur Koko - Broken White (S)</x:v>
      </x:c>
      <x:c r="F324" s="69" t="str">
        <x:v>Broken White</x:v>
      </x:c>
      <x:c r="G324" s="69" t="str">
        <x:v>S</x:v>
      </x:c>
      <x:c r="H324" s="84" t="n">
        <x:v>425000</x:v>
      </x:c>
      <x:c r="I324" s="90" t="n">
        <x:v>1</x:v>
      </x:c>
      <x:c r="J324" s="69" t="str">
        <x:f>IF(I324&lt;=0,"Habis",IF(I324&lt;=2,"Stok Terbatas","Tersedia"))</x:f>
        <x:v>Stok Terbatas</x:v>
      </x:c>
      <x:c r="K324" s="69" t="str">
        <x:v>Shirt</x:v>
      </x:c>
      <x:c r="L324" s="69" t="str">
        <x:v>Aktif</x:v>
      </x:c>
      <x:c r="M324" s="70" t="str"/>
    </x:row>
    <x:row r="325">
      <x:c r="A325" s="96" t="str">
        <x:v>22M32570XY3</x:v>
      </x:c>
      <x:c r="B325" s="102" t="n">
        <x:v>22</x:v>
      </x:c>
      <x:c r="C325" s="108" t="str">
        <x:v>KAMILA WARDROBE</x:v>
      </x:c>
      <x:c r="D325" s="69" t="str">
        <x:v>PRD0165</x:v>
      </x:c>
      <x:c r="E325" s="69" t="str">
        <x:v>Alur Koko - Powder Blue (L)</x:v>
      </x:c>
      <x:c r="F325" s="69" t="str">
        <x:v>Powder Blue</x:v>
      </x:c>
      <x:c r="G325" s="69" t="str">
        <x:v>L</x:v>
      </x:c>
      <x:c r="H325" s="84" t="n">
        <x:v>425000</x:v>
      </x:c>
      <x:c r="I325" s="90" t="n">
        <x:v>1</x:v>
      </x:c>
      <x:c r="J325" s="69" t="str">
        <x:f>IF(I325&lt;=0,"Habis",IF(I325&lt;=2,"Stok Terbatas","Tersedia"))</x:f>
        <x:v>Stok Terbatas</x:v>
      </x:c>
      <x:c r="K325" s="69" t="str">
        <x:v>Shirt</x:v>
      </x:c>
      <x:c r="L325" s="69" t="str">
        <x:v>Aktif</x:v>
      </x:c>
      <x:c r="M325" s="70" t="str"/>
    </x:row>
    <x:row r="326">
      <x:c r="A326" s="96" t="str">
        <x:v>22M32599XY5</x:v>
      </x:c>
      <x:c r="B326" s="102" t="n">
        <x:v>22</x:v>
      </x:c>
      <x:c r="C326" s="108" t="str">
        <x:v>KAMILA WARDROBE</x:v>
      </x:c>
      <x:c r="D326" s="69" t="str">
        <x:v>PRD0166</x:v>
      </x:c>
      <x:c r="E326" s="69" t="str">
        <x:v>Alur Koko Kids - Broken White (XXL)</x:v>
      </x:c>
      <x:c r="F326" s="69" t="str">
        <x:v>Broken White</x:v>
      </x:c>
      <x:c r="G326" s="69" t="str">
        <x:v>XXL</x:v>
      </x:c>
      <x:c r="H326" s="84" t="n">
        <x:v>295000</x:v>
      </x:c>
      <x:c r="I326" s="90" t="n">
        <x:v>1</x:v>
      </x:c>
      <x:c r="J326" s="69" t="str">
        <x:f>IF(I326&lt;=0,"Habis",IF(I326&lt;=2,"Stok Terbatas","Tersedia"))</x:f>
        <x:v>Stok Terbatas</x:v>
      </x:c>
      <x:c r="K326" s="69" t="str">
        <x:v>Shirt</x:v>
      </x:c>
      <x:c r="L326" s="69" t="str">
        <x:v>Aktif</x:v>
      </x:c>
      <x:c r="M326" s="70" t="str"/>
    </x:row>
    <x:row r="327">
      <x:c r="A327" s="96" t="str">
        <x:v>22M32594XY5</x:v>
      </x:c>
      <x:c r="B327" s="102" t="n">
        <x:v>22</x:v>
      </x:c>
      <x:c r="C327" s="108" t="str">
        <x:v>KAMILA WARDROBE</x:v>
      </x:c>
      <x:c r="D327" s="69" t="str">
        <x:v>PRD0166</x:v>
      </x:c>
      <x:c r="E327" s="69" t="str">
        <x:v>Alur Koko Kids - Powder Blue (XXL)</x:v>
      </x:c>
      <x:c r="F327" s="69" t="str">
        <x:v>Powder Blue</x:v>
      </x:c>
      <x:c r="G327" s="69" t="str">
        <x:v>XXL</x:v>
      </x:c>
      <x:c r="H327" s="84" t="n">
        <x:v>295000</x:v>
      </x:c>
      <x:c r="I327" s="90" t="n">
        <x:v>1</x:v>
      </x:c>
      <x:c r="J327" s="69" t="str">
        <x:f>IF(I327&lt;=0,"Habis",IF(I327&lt;=2,"Stok Terbatas","Tersedia"))</x:f>
        <x:v>Stok Terbatas</x:v>
      </x:c>
      <x:c r="K327" s="69" t="str">
        <x:v>Shirt</x:v>
      </x:c>
      <x:c r="L327" s="69" t="str">
        <x:v>Aktif</x:v>
      </x:c>
      <x:c r="M327" s="70" t="str"/>
    </x:row>
    <x:row r="328">
      <x:c r="A328" s="96" t="str">
        <x:v>22M12826XX0</x:v>
      </x:c>
      <x:c r="B328" s="102" t="n">
        <x:v>22</x:v>
      </x:c>
      <x:c r="C328" s="108" t="str">
        <x:v>KAMILA WARDROBE</x:v>
      </x:c>
      <x:c r="D328" s="69" t="str">
        <x:v>PRD0161</x:v>
      </x:c>
      <x:c r="E328" s="69" t="str">
        <x:v>Backyard Series - Denim</x:v>
      </x:c>
      <x:c r="F328" s="69" t="str">
        <x:v>Denim</x:v>
      </x:c>
      <x:c r="G328" s="69" t="str"/>
      <x:c r="H328" s="84" t="n">
        <x:v>299000</x:v>
      </x:c>
      <x:c r="I328" s="90" t="n">
        <x:v>1</x:v>
      </x:c>
      <x:c r="J328" s="69" t="str">
        <x:f>IF(I328&lt;=0,"Habis",IF(I328&lt;=2,"Stok Terbatas","Tersedia"))</x:f>
        <x:v>Stok Terbatas</x:v>
      </x:c>
      <x:c r="K328" s="69" t="str">
        <x:v>Hijab</x:v>
      </x:c>
      <x:c r="L328" s="69" t="str">
        <x:v>Aktif</x:v>
      </x:c>
      <x:c r="M328" s="70" t="str"/>
    </x:row>
    <x:row r="329">
      <x:c r="A329" s="96" t="str">
        <x:v>22M112887XX0</x:v>
      </x:c>
      <x:c r="B329" s="102" t="n">
        <x:v>22</x:v>
      </x:c>
      <x:c r="C329" s="108" t="str">
        <x:v>KAMILA WARDROBE</x:v>
      </x:c>
      <x:c r="D329" s="69" t="str">
        <x:v>PRD0163</x:v>
      </x:c>
      <x:c r="E329" s="69" t="str">
        <x:v>Della Set - Black</x:v>
      </x:c>
      <x:c r="F329" s="69" t="str">
        <x:v>Black</x:v>
      </x:c>
      <x:c r="G329" s="69" t="str"/>
      <x:c r="H329" s="84" t="n">
        <x:v>355000</x:v>
      </x:c>
      <x:c r="I329" s="90" t="n">
        <x:v>1</x:v>
      </x:c>
      <x:c r="J329" s="69" t="str">
        <x:f>IF(I329&lt;=0,"Habis",IF(I329&lt;=2,"Stok Terbatas","Tersedia"))</x:f>
        <x:v>Stok Terbatas</x:v>
      </x:c>
      <x:c r="K329" s="69" t="str">
        <x:v>Set</x:v>
      </x:c>
      <x:c r="L329" s="69" t="str">
        <x:v>Aktif</x:v>
      </x:c>
      <x:c r="M329" s="70" t="str"/>
    </x:row>
    <x:row r="330">
      <x:c r="A330" s="96" t="str">
        <x:v>22M112889XX0</x:v>
      </x:c>
      <x:c r="B330" s="102" t="n">
        <x:v>22</x:v>
      </x:c>
      <x:c r="C330" s="108" t="str">
        <x:v>KAMILA WARDROBE</x:v>
      </x:c>
      <x:c r="D330" s="69" t="str">
        <x:v>PRD0163</x:v>
      </x:c>
      <x:c r="E330" s="69" t="str">
        <x:v>Della Set - Mahogany</x:v>
      </x:c>
      <x:c r="F330" s="69" t="str">
        <x:v>Mahogany</x:v>
      </x:c>
      <x:c r="G330" s="69" t="str"/>
      <x:c r="H330" s="84" t="n">
        <x:v>355000</x:v>
      </x:c>
      <x:c r="I330" s="90" t="n">
        <x:v>1</x:v>
      </x:c>
      <x:c r="J330" s="69" t="str">
        <x:f>IF(I330&lt;=0,"Habis",IF(I330&lt;=2,"Stok Terbatas","Tersedia"))</x:f>
        <x:v>Stok Terbatas</x:v>
      </x:c>
      <x:c r="K330" s="69" t="str">
        <x:v>Set</x:v>
      </x:c>
      <x:c r="L330" s="69" t="str">
        <x:v>Aktif</x:v>
      </x:c>
      <x:c r="M330" s="70" t="str"/>
    </x:row>
    <x:row r="331">
      <x:c r="A331" s="96" t="str">
        <x:v>22M112859XX0</x:v>
      </x:c>
      <x:c r="B331" s="102" t="n">
        <x:v>22</x:v>
      </x:c>
      <x:c r="C331" s="108" t="str">
        <x:v>KAMILA WARDROBE</x:v>
      </x:c>
      <x:c r="D331" s="69" t="str">
        <x:v>PRD0164</x:v>
      </x:c>
      <x:c r="E331" s="69" t="str">
        <x:v>Sabiya Set - Sage</x:v>
      </x:c>
      <x:c r="F331" s="69" t="str">
        <x:v>Sage</x:v>
      </x:c>
      <x:c r="G331" s="69" t="str"/>
      <x:c r="H331" s="84" t="n">
        <x:v>335000</x:v>
      </x:c>
      <x:c r="I331" s="90" t="n">
        <x:v>1</x:v>
      </x:c>
      <x:c r="J331" s="69" t="str">
        <x:f>IF(I331&lt;=0,"Habis",IF(I331&lt;=2,"Stok Terbatas","Tersedia"))</x:f>
        <x:v>Stok Terbatas</x:v>
      </x:c>
      <x:c r="K331" s="69" t="str">
        <x:v>Set</x:v>
      </x:c>
      <x:c r="L331" s="69" t="str">
        <x:v>Aktif</x:v>
      </x:c>
      <x:c r="M331" s="70" t="str"/>
    </x:row>
    <x:row r="332">
      <x:c r="A332" s="96" t="str">
        <x:v>22M12852XX0</x:v>
      </x:c>
      <x:c r="B332" s="102" t="n">
        <x:v>22</x:v>
      </x:c>
      <x:c r="C332" s="108" t="str">
        <x:v>KAMILA WARDROBE</x:v>
      </x:c>
      <x:c r="D332" s="69" t="str">
        <x:v>PRD0162</x:v>
      </x:c>
      <x:c r="E332" s="69" t="str">
        <x:v>Serenity Series - Blush</x:v>
      </x:c>
      <x:c r="F332" s="69" t="str">
        <x:v>Blush</x:v>
      </x:c>
      <x:c r="G332" s="69" t="str"/>
      <x:c r="H332" s="84" t="n">
        <x:v>299000</x:v>
      </x:c>
      <x:c r="I332" s="90" t="n">
        <x:v>1</x:v>
      </x:c>
      <x:c r="J332" s="69" t="str">
        <x:f>IF(I332&lt;=0,"Habis",IF(I332&lt;=2,"Stok Terbatas","Tersedia"))</x:f>
        <x:v>Stok Terbatas</x:v>
      </x:c>
      <x:c r="K332" s="69" t="str">
        <x:v>Hijab</x:v>
      </x:c>
      <x:c r="L332" s="69" t="str">
        <x:v>Aktif</x:v>
      </x:c>
      <x:c r="M332" s="70" t="str"/>
    </x:row>
    <x:row r="333">
      <x:c r="A333" s="97" t="str">
        <x:v>22M12855XX0</x:v>
      </x:c>
      <x:c r="B333" s="103" t="n">
        <x:v>22</x:v>
      </x:c>
      <x:c r="C333" s="109" t="str">
        <x:v>KAMILA WARDROBE</x:v>
      </x:c>
      <x:c r="D333" s="72" t="str">
        <x:v>PRD0162</x:v>
      </x:c>
      <x:c r="E333" s="72" t="str">
        <x:v>Serenity Series - Yellow</x:v>
      </x:c>
      <x:c r="F333" s="72" t="str">
        <x:v>Yellow</x:v>
      </x:c>
      <x:c r="G333" s="72" t="str"/>
      <x:c r="H333" s="85" t="n">
        <x:v>299000</x:v>
      </x:c>
      <x:c r="I333" s="91" t="n">
        <x:v>1</x:v>
      </x:c>
      <x:c r="J333" s="72" t="str">
        <x:f>IF(I333&lt;=0,"Habis",IF(I333&lt;=2,"Stok Terbatas","Tersedia"))</x:f>
        <x:v>Stok Terbatas</x:v>
      </x:c>
      <x:c r="K333" s="72" t="str">
        <x:v>Hijab</x:v>
      </x:c>
      <x:c r="L333" s="72" t="str">
        <x:v>Aktif</x:v>
      </x:c>
      <x:c r="M333" s="73" t="str"/>
    </x:row>
  </x:sheetData>
  <x:conditionalFormatting sqref="J2:J333">
    <x:cfRule type="expression" dxfId="0" priority="1">
      <x:formula>J2="Habis"</x:formula>
    </x:cfRule>
    <x:cfRule type="expression" dxfId="1" priority="2">
      <x:formula>J2="Stok Terbatas"</x:formula>
    </x:cfRule>
    <x:cfRule type="expression" dxfId="2" priority="3">
      <x:formula>J2="Tersedia"</x:formula>
    </x:cfRule>
  </x:conditionalFormatting>
  <x:dataValidations count="2">
    <x:dataValidation type="list" sqref="K2:K333">
      <x:formula1>"Aksesoris,Bag,Blouse,Dress,Hijab,Outer,Pants,Set,Shirt,Shoes,Skirt,Sweater,Tunic,Vest"</x:formula1>
    </x:dataValidation>
    <x:dataValidation type="list" sqref="L2:L333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1308be15fb49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24" hidden="0" customWidth="1"/>
    <x:col min="9" max="9" width="40" hidden="0" customWidth="1"/>
    <x:col min="10" max="10" width="16" hidden="0" customWidth="1"/>
    <x:col min="11" max="11" width="30" hidden="0" customWidth="1"/>
  </x:cols>
  <x:sheetData>
    <x:row r="1" ht="38" customHeight="1">
      <x:c r="A1" s="13" t="str">
        <x:v>KODE_BRAND</x:v>
      </x:c>
      <x:c r="B1" s="14" t="str">
        <x:v>NAMA_BRAND</x:v>
      </x:c>
      <x:c r="C1" s="14" t="str">
        <x:v>JUMLAH_PRODUK</x:v>
      </x:c>
      <x:c r="D1" s="14" t="str">
        <x:v>JUMLAH_SKU</x:v>
      </x:c>
      <x:c r="E1" s="14" t="str">
        <x:v>TOTAL_STOK</x:v>
      </x:c>
      <x:c r="F1" s="14" t="str">
        <x:v>STATUS_DATA</x:v>
      </x:c>
      <x:c r="G1" s="14" t="str">
        <x:v>LOGO_BRAND</x:v>
      </x:c>
      <x:c r="H1" s="14" t="str">
        <x:v>INSTAGRAM_BRAND</x:v>
      </x:c>
      <x:c r="I1" s="14" t="str">
        <x:v>DESKRIPSI</x:v>
      </x:c>
      <x:c r="J1" s="14" t="str">
        <x:v>STATUS_TAYANG</x:v>
      </x:c>
      <x:c r="K1" s="15" t="str">
        <x:v>CATATAN</x:v>
      </x:c>
    </x:row>
    <x:row r="2">
      <x:c r="A2" s="113" t="n">
        <x:v>1</x:v>
      </x:c>
      <x:c r="B2" s="119" t="str">
        <x:v>SENJA</x:v>
      </x:c>
      <x:c r="C2" s="89" t="n">
        <x:v>4</x:v>
      </x:c>
      <x:c r="D2" s="89" t="n">
        <x:v>37</x:v>
      </x:c>
      <x:c r="E2" s="89" t="n">
        <x:v>90</x:v>
      </x:c>
      <x:c r="F2" s="66" t="str">
        <x:v>Aktif</x:v>
      </x:c>
      <x:c r="G2" s="66" t="str"/>
      <x:c r="H2" s="66" t="str"/>
      <x:c r="I2" s="66" t="str"/>
      <x:c r="J2" s="66" t="str">
        <x:v>Aktif</x:v>
      </x:c>
      <x:c r="K2" s="67" t="str"/>
    </x:row>
    <x:row r="3">
      <x:c r="A3" s="114" t="n">
        <x:v>2</x:v>
      </x:c>
      <x:c r="B3" s="120" t="str">
        <x:v>DOA</x:v>
      </x:c>
      <x:c r="C3" s="90" t="n">
        <x:v>9</x:v>
      </x:c>
      <x:c r="D3" s="90" t="n">
        <x:v>18</x:v>
      </x:c>
      <x:c r="E3" s="90" t="n">
        <x:v>34</x:v>
      </x:c>
      <x:c r="F3" s="69" t="str">
        <x:v>Aktif</x:v>
      </x:c>
      <x:c r="G3" s="69" t="str"/>
      <x:c r="H3" s="69" t="str"/>
      <x:c r="I3" s="69" t="str"/>
      <x:c r="J3" s="69" t="str">
        <x:v>Aktif</x:v>
      </x:c>
      <x:c r="K3" s="70" t="str"/>
    </x:row>
    <x:row r="4">
      <x:c r="A4" s="114" t="n">
        <x:v>3</x:v>
      </x:c>
      <x:c r="B4" s="120" t="str">
        <x:v>HEART TROOPS</x:v>
      </x:c>
      <x:c r="C4" s="90" t="n">
        <x:v>30</x:v>
      </x:c>
      <x:c r="D4" s="90" t="n">
        <x:v>66</x:v>
      </x:c>
      <x:c r="E4" s="90" t="n">
        <x:v>94</x:v>
      </x:c>
      <x:c r="F4" s="69" t="str">
        <x:v>Aktif</x:v>
      </x:c>
      <x:c r="G4" s="69" t="str"/>
      <x:c r="H4" s="69" t="str"/>
      <x:c r="I4" s="69" t="str"/>
      <x:c r="J4" s="69" t="str">
        <x:v>Aktif</x:v>
      </x:c>
      <x:c r="K4" s="70" t="str"/>
    </x:row>
    <x:row r="5">
      <x:c r="A5" s="114" t="n">
        <x:v>4</x:v>
      </x:c>
      <x:c r="B5" s="120" t="str">
        <x:v>PURU KAMBERA</x:v>
      </x:c>
      <x:c r="C5" s="90" t="n">
        <x:v>35</x:v>
      </x:c>
      <x:c r="D5" s="90" t="n">
        <x:v>44</x:v>
      </x:c>
      <x:c r="E5" s="90" t="n">
        <x:v>58</x:v>
      </x:c>
      <x:c r="F5" s="69" t="str">
        <x:v>Aktif</x:v>
      </x:c>
      <x:c r="G5" s="69" t="str"/>
      <x:c r="H5" s="69" t="str"/>
      <x:c r="I5" s="69" t="str"/>
      <x:c r="J5" s="69" t="str">
        <x:v>Aktif</x:v>
      </x:c>
      <x:c r="K5" s="70" t="str"/>
    </x:row>
    <x:row r="6">
      <x:c r="A6" s="114" t="n">
        <x:v>5</x:v>
      </x:c>
      <x:c r="B6" s="120" t="str">
        <x:v>LbyLCB</x:v>
      </x:c>
      <x:c r="C6" s="90" t="n">
        <x:v>0</x:v>
      </x:c>
      <x:c r="D6" s="90" t="n">
        <x:v>0</x:v>
      </x:c>
      <x:c r="E6" s="90" t="n">
        <x:v>0</x:v>
      </x:c>
      <x:c r="F6" s="69" t="str">
        <x:v>Belum ada SKU</x:v>
      </x:c>
      <x:c r="G6" s="69" t="str"/>
      <x:c r="H6" s="69" t="str"/>
      <x:c r="I6" s="69" t="str"/>
      <x:c r="J6" s="69" t="str">
        <x:v>Nonaktif</x:v>
      </x:c>
      <x:c r="K6" s="70" t="str"/>
    </x:row>
    <x:row r="7">
      <x:c r="A7" s="114" t="n">
        <x:v>6</x:v>
      </x:c>
      <x:c r="B7" s="120" t="str">
        <x:v>TUTUTBI HANDMADE</x:v>
      </x:c>
      <x:c r="C7" s="90" t="n">
        <x:v>5</x:v>
      </x:c>
      <x:c r="D7" s="90" t="n">
        <x:v>5</x:v>
      </x:c>
      <x:c r="E7" s="90" t="n">
        <x:v>6</x:v>
      </x:c>
      <x:c r="F7" s="69" t="str">
        <x:v>Aktif</x:v>
      </x:c>
      <x:c r="G7" s="69" t="str"/>
      <x:c r="H7" s="69" t="str"/>
      <x:c r="I7" s="69" t="str"/>
      <x:c r="J7" s="69" t="str">
        <x:v>Aktif</x:v>
      </x:c>
      <x:c r="K7" s="70" t="str"/>
    </x:row>
    <x:row r="8">
      <x:c r="A8" s="114" t="n">
        <x:v>7</x:v>
      </x:c>
      <x:c r="B8" s="120" t="str">
        <x:v>BOX</x:v>
      </x:c>
      <x:c r="C8" s="90" t="n">
        <x:v>1</x:v>
      </x:c>
      <x:c r="D8" s="90" t="n">
        <x:v>3</x:v>
      </x:c>
      <x:c r="E8" s="90" t="n">
        <x:v>145</x:v>
      </x:c>
      <x:c r="F8" s="69" t="str">
        <x:v>Aktif</x:v>
      </x:c>
      <x:c r="G8" s="69" t="str"/>
      <x:c r="H8" s="69" t="str"/>
      <x:c r="I8" s="69" t="str"/>
      <x:c r="J8" s="69" t="str">
        <x:v>Aktif</x:v>
      </x:c>
      <x:c r="K8" s="70" t="str"/>
    </x:row>
    <x:row r="9">
      <x:c r="A9" s="114" t="n">
        <x:v>8</x:v>
      </x:c>
      <x:c r="B9" s="120" t="str">
        <x:v>PINKYSHOP</x:v>
      </x:c>
      <x:c r="C9" s="90" t="n">
        <x:v>0</x:v>
      </x:c>
      <x:c r="D9" s="90" t="n">
        <x:v>0</x:v>
      </x:c>
      <x:c r="E9" s="90" t="n">
        <x:v>0</x:v>
      </x:c>
      <x:c r="F9" s="69" t="str">
        <x:v>Belum ada SKU</x:v>
      </x:c>
      <x:c r="G9" s="69" t="str"/>
      <x:c r="H9" s="69" t="str"/>
      <x:c r="I9" s="69" t="str"/>
      <x:c r="J9" s="69" t="str">
        <x:v>Nonaktif</x:v>
      </x:c>
      <x:c r="K9" s="70" t="str"/>
    </x:row>
    <x:row r="10">
      <x:c r="A10" s="114" t="n">
        <x:v>9</x:v>
      </x:c>
      <x:c r="B10" s="120" t="str">
        <x:v>BAMBOO STUDIO</x:v>
      </x:c>
      <x:c r="C10" s="90" t="n">
        <x:v>3</x:v>
      </x:c>
      <x:c r="D10" s="90" t="n">
        <x:v>6</x:v>
      </x:c>
      <x:c r="E10" s="90" t="n">
        <x:v>7</x:v>
      </x:c>
      <x:c r="F10" s="69" t="str">
        <x:v>Aktif</x:v>
      </x:c>
      <x:c r="G10" s="69" t="str"/>
      <x:c r="H10" s="69" t="str"/>
      <x:c r="I10" s="69" t="str"/>
      <x:c r="J10" s="69" t="str">
        <x:v>Aktif</x:v>
      </x:c>
      <x:c r="K10" s="70" t="str"/>
    </x:row>
    <x:row r="11">
      <x:c r="A11" s="114" t="n">
        <x:v>10</x:v>
      </x:c>
      <x:c r="B11" s="120" t="str">
        <x:v>JINGGA SCARVES</x:v>
      </x:c>
      <x:c r="C11" s="90" t="n">
        <x:v>10</x:v>
      </x:c>
      <x:c r="D11" s="90" t="n">
        <x:v>25</x:v>
      </x:c>
      <x:c r="E11" s="90" t="n">
        <x:v>34</x:v>
      </x:c>
      <x:c r="F11" s="69" t="str">
        <x:v>Aktif</x:v>
      </x:c>
      <x:c r="G11" s="69" t="str"/>
      <x:c r="H11" s="69" t="str"/>
      <x:c r="I11" s="69" t="str"/>
      <x:c r="J11" s="69" t="str">
        <x:v>Aktif</x:v>
      </x:c>
      <x:c r="K11" s="70" t="str"/>
    </x:row>
    <x:row r="12">
      <x:c r="A12" s="114" t="n">
        <x:v>11</x:v>
      </x:c>
      <x:c r="B12" s="120" t="str">
        <x:v>NABNIB</x:v>
      </x:c>
      <x:c r="C12" s="90" t="n">
        <x:v>5</x:v>
      </x:c>
      <x:c r="D12" s="90" t="n">
        <x:v>7</x:v>
      </x:c>
      <x:c r="E12" s="90" t="n">
        <x:v>19</x:v>
      </x:c>
      <x:c r="F12" s="69" t="str">
        <x:v>Aktif</x:v>
      </x:c>
      <x:c r="G12" s="69" t="str"/>
      <x:c r="H12" s="69" t="str"/>
      <x:c r="I12" s="69" t="str"/>
      <x:c r="J12" s="69" t="str">
        <x:v>Aktif</x:v>
      </x:c>
      <x:c r="K12" s="70" t="str"/>
    </x:row>
    <x:row r="13">
      <x:c r="A13" s="114" t="n">
        <x:v>12</x:v>
      </x:c>
      <x:c r="B13" s="120" t="str">
        <x:v>NO BRAND</x:v>
      </x:c>
      <x:c r="C13" s="90" t="n">
        <x:v>27</x:v>
      </x:c>
      <x:c r="D13" s="90" t="n">
        <x:v>41</x:v>
      </x:c>
      <x:c r="E13" s="90" t="n">
        <x:v>54</x:v>
      </x:c>
      <x:c r="F13" s="69" t="str">
        <x:v>Aktif</x:v>
      </x:c>
      <x:c r="G13" s="69" t="str"/>
      <x:c r="H13" s="69" t="str"/>
      <x:c r="I13" s="69" t="str"/>
      <x:c r="J13" s="69" t="str">
        <x:v>Aktif</x:v>
      </x:c>
      <x:c r="K13" s="70" t="str"/>
    </x:row>
    <x:row r="14">
      <x:c r="A14" s="114" t="n">
        <x:v>13</x:v>
      </x:c>
      <x:c r="B14" s="120" t="str">
        <x:v>BRAND II</x:v>
      </x:c>
      <x:c r="C14" s="90" t="n">
        <x:v>0</x:v>
      </x:c>
      <x:c r="D14" s="90" t="n">
        <x:v>0</x:v>
      </x:c>
      <x:c r="E14" s="90" t="n">
        <x:v>0</x:v>
      </x:c>
      <x:c r="F14" s="69" t="str">
        <x:v>Belum ada SKU</x:v>
      </x:c>
      <x:c r="G14" s="69" t="str"/>
      <x:c r="H14" s="69" t="str"/>
      <x:c r="I14" s="69" t="str"/>
      <x:c r="J14" s="69" t="str">
        <x:v>Nonaktif</x:v>
      </x:c>
      <x:c r="K14" s="70" t="str"/>
    </x:row>
    <x:row r="15">
      <x:c r="A15" s="114" t="n">
        <x:v>14</x:v>
      </x:c>
      <x:c r="B15" s="120" t="str">
        <x:v>NISA</x:v>
      </x:c>
      <x:c r="C15" s="90" t="n">
        <x:v>2</x:v>
      </x:c>
      <x:c r="D15" s="90" t="n">
        <x:v>2</x:v>
      </x:c>
      <x:c r="E15" s="90" t="n">
        <x:v>3</x:v>
      </x:c>
      <x:c r="F15" s="69" t="str">
        <x:v>Aktif</x:v>
      </x:c>
      <x:c r="G15" s="69" t="str"/>
      <x:c r="H15" s="69" t="str"/>
      <x:c r="I15" s="69" t="str"/>
      <x:c r="J15" s="69" t="str">
        <x:v>Aktif</x:v>
      </x:c>
      <x:c r="K15" s="70" t="str"/>
    </x:row>
    <x:row r="16">
      <x:c r="A16" s="114" t="n">
        <x:v>15</x:v>
      </x:c>
      <x:c r="B16" s="120" t="str">
        <x:v>ANINDYASCARF</x:v>
      </x:c>
      <x:c r="C16" s="90" t="n">
        <x:v>9</x:v>
      </x:c>
      <x:c r="D16" s="90" t="n">
        <x:v>40</x:v>
      </x:c>
      <x:c r="E16" s="90" t="n">
        <x:v>42</x:v>
      </x:c>
      <x:c r="F16" s="69" t="str">
        <x:v>Aktif</x:v>
      </x:c>
      <x:c r="G16" s="69" t="str"/>
      <x:c r="H16" s="69" t="str"/>
      <x:c r="I16" s="69" t="str"/>
      <x:c r="J16" s="69" t="str">
        <x:v>Aktif</x:v>
      </x:c>
      <x:c r="K16" s="70" t="str"/>
    </x:row>
    <x:row r="17">
      <x:c r="A17" s="114" t="n">
        <x:v>16</x:v>
      </x:c>
      <x:c r="B17" s="120" t="str">
        <x:v>CORDY</x:v>
      </x:c>
      <x:c r="C17" s="90" t="n">
        <x:v>0</x:v>
      </x:c>
      <x:c r="D17" s="90" t="n">
        <x:v>0</x:v>
      </x:c>
      <x:c r="E17" s="90" t="n">
        <x:v>0</x:v>
      </x:c>
      <x:c r="F17" s="69" t="str">
        <x:v>Belum ada SKU</x:v>
      </x:c>
      <x:c r="G17" s="69" t="str"/>
      <x:c r="H17" s="69" t="str"/>
      <x:c r="I17" s="69" t="str"/>
      <x:c r="J17" s="69" t="str">
        <x:v>Nonaktif</x:v>
      </x:c>
      <x:c r="K17" s="70" t="str"/>
    </x:row>
    <x:row r="18">
      <x:c r="A18" s="114" t="n">
        <x:v>17</x:v>
      </x:c>
      <x:c r="B18" s="120" t="str">
        <x:v>WMD</x:v>
      </x:c>
      <x:c r="C18" s="90" t="n">
        <x:v>3</x:v>
      </x:c>
      <x:c r="D18" s="90" t="n">
        <x:v>4</x:v>
      </x:c>
      <x:c r="E18" s="90" t="n">
        <x:v>5</x:v>
      </x:c>
      <x:c r="F18" s="69" t="str">
        <x:v>Aktif</x:v>
      </x:c>
      <x:c r="G18" s="69" t="str"/>
      <x:c r="H18" s="69" t="str"/>
      <x:c r="I18" s="69" t="str"/>
      <x:c r="J18" s="69" t="str">
        <x:v>Aktif</x:v>
      </x:c>
      <x:c r="K18" s="70" t="str"/>
    </x:row>
    <x:row r="19">
      <x:c r="A19" s="114" t="n">
        <x:v>18</x:v>
      </x:c>
      <x:c r="B19" s="120" t="str">
        <x:v>RAFIKA</x:v>
      </x:c>
      <x:c r="C19" s="90" t="n">
        <x:v>1</x:v>
      </x:c>
      <x:c r="D19" s="90" t="n">
        <x:v>4</x:v>
      </x:c>
      <x:c r="E19" s="90" t="n">
        <x:v>5</x:v>
      </x:c>
      <x:c r="F19" s="69" t="str">
        <x:v>Aktif</x:v>
      </x:c>
      <x:c r="G19" s="69" t="str"/>
      <x:c r="H19" s="69" t="str"/>
      <x:c r="I19" s="69" t="str"/>
      <x:c r="J19" s="69" t="str">
        <x:v>Aktif</x:v>
      </x:c>
      <x:c r="K19" s="70" t="str"/>
    </x:row>
    <x:row r="20">
      <x:c r="A20" s="114" t="n">
        <x:v>19</x:v>
      </x:c>
      <x:c r="B20" s="120" t="str">
        <x:v>KIENKA STUDIO</x:v>
      </x:c>
      <x:c r="C20" s="90" t="n">
        <x:v>0</x:v>
      </x:c>
      <x:c r="D20" s="90" t="n">
        <x:v>0</x:v>
      </x:c>
      <x:c r="E20" s="90" t="n">
        <x:v>0</x:v>
      </x:c>
      <x:c r="F20" s="69" t="str">
        <x:v>Belum ada SKU</x:v>
      </x:c>
      <x:c r="G20" s="69" t="str"/>
      <x:c r="H20" s="69" t="str"/>
      <x:c r="I20" s="69" t="str"/>
      <x:c r="J20" s="69" t="str">
        <x:v>Nonaktif</x:v>
      </x:c>
      <x:c r="K20" s="70" t="str"/>
    </x:row>
    <x:row r="21">
      <x:c r="A21" s="114" t="n">
        <x:v>20</x:v>
      </x:c>
      <x:c r="B21" s="120" t="str">
        <x:v>KHEVA MAUZA</x:v>
      </x:c>
      <x:c r="C21" s="90" t="n">
        <x:v>0</x:v>
      </x:c>
      <x:c r="D21" s="90" t="n">
        <x:v>0</x:v>
      </x:c>
      <x:c r="E21" s="90" t="n">
        <x:v>0</x:v>
      </x:c>
      <x:c r="F21" s="69" t="str">
        <x:v>Belum ada SKU</x:v>
      </x:c>
      <x:c r="G21" s="69" t="str"/>
      <x:c r="H21" s="69" t="str"/>
      <x:c r="I21" s="69" t="str"/>
      <x:c r="J21" s="69" t="str">
        <x:v>Nonaktif</x:v>
      </x:c>
      <x:c r="K21" s="70" t="str"/>
    </x:row>
    <x:row r="22">
      <x:c r="A22" s="114" t="n">
        <x:v>21</x:v>
      </x:c>
      <x:c r="B22" s="120" t="str">
        <x:v>PRELOVED</x:v>
      </x:c>
      <x:c r="C22" s="90" t="n">
        <x:v>15</x:v>
      </x:c>
      <x:c r="D22" s="90" t="n">
        <x:v>15</x:v>
      </x:c>
      <x:c r="E22" s="90" t="n">
        <x:v>15</x:v>
      </x:c>
      <x:c r="F22" s="69" t="str">
        <x:v>Aktif</x:v>
      </x:c>
      <x:c r="G22" s="69" t="str"/>
      <x:c r="H22" s="69" t="str"/>
      <x:c r="I22" s="69" t="str"/>
      <x:c r="J22" s="69" t="str">
        <x:v>Aktif</x:v>
      </x:c>
      <x:c r="K22" s="70" t="str"/>
    </x:row>
    <x:row r="23">
      <x:c r="A23" s="115" t="n">
        <x:v>22</x:v>
      </x:c>
      <x:c r="B23" s="121" t="str">
        <x:v>KAMILA WARDROBE</x:v>
      </x:c>
      <x:c r="C23" s="91" t="n">
        <x:v>7</x:v>
      </x:c>
      <x:c r="D23" s="91" t="n">
        <x:v>15</x:v>
      </x:c>
      <x:c r="E23" s="91" t="n">
        <x:v>15</x:v>
      </x:c>
      <x:c r="F23" s="72" t="str">
        <x:v>Aktif</x:v>
      </x:c>
      <x:c r="G23" s="72" t="str"/>
      <x:c r="H23" s="72" t="str"/>
      <x:c r="I23" s="72" t="str"/>
      <x:c r="J23" s="72" t="str">
        <x:v>Aktif</x:v>
      </x:c>
      <x:c r="K23" s="73" t="str"/>
    </x:row>
  </x:sheetData>
  <x:dataValidations count="1">
    <x:dataValidation type="list" sqref="J2:J23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ad38b39724d55"/>
  </x:tableParts>
</x:worksheet>
</file>