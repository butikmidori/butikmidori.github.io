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8_{9EAF5A60-5A2D-4CBB-9BF1-9C50CB640FC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ODUK_MASTER" sheetId="1" r:id="rId1"/>
    <sheet name="VARIAN_STOK" sheetId="2" r:id="rId2"/>
    <sheet name="BRAND_MAS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33" i="2" l="1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<sst xmlns="http://schemas.openxmlformats.org/spreadsheetml/2006/main" count="4569" uniqueCount="1388">
  <si>
    <t>ID_PRODUK</t>
  </si>
  <si>
    <t>SLUG_PRODUK</t>
  </si>
  <si>
    <t>KODE_BRAND</t>
  </si>
  <si>
    <t>BRAND</t>
  </si>
  <si>
    <t>NAMA_PRODUK</t>
  </si>
  <si>
    <t>KATEGORI</t>
  </si>
  <si>
    <t>SEGMEN</t>
  </si>
  <si>
    <t>KONDISI</t>
  </si>
  <si>
    <t>HARGA_MIN</t>
  </si>
  <si>
    <t>HARGA_MAX</t>
  </si>
  <si>
    <t>TOTAL_STOK</t>
  </si>
  <si>
    <t>JUMLAH_VARIAN</t>
  </si>
  <si>
    <t>WARNA_TERSEDIA</t>
  </si>
  <si>
    <t>UKURAN_TERSEDIA</t>
  </si>
  <si>
    <t>BAHAN</t>
  </si>
  <si>
    <t>DESKRIPSI</t>
  </si>
  <si>
    <t>FOTO_UTAMA</t>
  </si>
  <si>
    <t>FOTO_2</t>
  </si>
  <si>
    <t>FOTO_3</t>
  </si>
  <si>
    <t>URL_VIDEO</t>
  </si>
  <si>
    <t>PRODUK_BARU</t>
  </si>
  <si>
    <t>PRODUK_PILIHAN</t>
  </si>
  <si>
    <t>STATUS_TAYANG</t>
  </si>
  <si>
    <t>CATATAN</t>
  </si>
  <si>
    <t>STATUS_PROMO</t>
  </si>
  <si>
    <t>DISKON_PERSEN</t>
  </si>
  <si>
    <t>PROMO_MULAI</t>
  </si>
  <si>
    <t>PROMO_SELESAI</t>
  </si>
  <si>
    <t>LABEL_PROMO</t>
  </si>
  <si>
    <t>PRD0001</t>
  </si>
  <si>
    <t>senja-asha-dress-kids</t>
  </si>
  <si>
    <t>SENJA</t>
  </si>
  <si>
    <t>Asha Dress Kids</t>
  </si>
  <si>
    <t>Dress</t>
  </si>
  <si>
    <t>Anak</t>
  </si>
  <si>
    <t>Baru</t>
  </si>
  <si>
    <t>Coklat, Putih, Salem, Taupe, Ungu</t>
  </si>
  <si>
    <t>L, M, S</t>
  </si>
  <si>
    <t>assets/images/products/prd0001-01.webp</t>
  </si>
  <si>
    <t>Tidak</t>
  </si>
  <si>
    <t>Aktif</t>
  </si>
  <si>
    <t>PRD0002</t>
  </si>
  <si>
    <t>senja-dress-kids-maison-de-serein</t>
  </si>
  <si>
    <t>Dress Kids - Maison de Serein</t>
  </si>
  <si>
    <t>Biru Muda, Choco Taupe, Coklat Manis</t>
  </si>
  <si>
    <t>PRD0003</t>
  </si>
  <si>
    <t>senja-asha-koko-kids</t>
  </si>
  <si>
    <t>Asha Koko Kids</t>
  </si>
  <si>
    <t>Shirt</t>
  </si>
  <si>
    <t>PRD0004</t>
  </si>
  <si>
    <t>senja-shirt-kids-maison-de-serein</t>
  </si>
  <si>
    <t>Shirt Kids - Maison de Serein</t>
  </si>
  <si>
    <t>Biru Muda, Choco Taupe</t>
  </si>
  <si>
    <t>PRD0005</t>
  </si>
  <si>
    <t>doa-claire-signature-brooch</t>
  </si>
  <si>
    <t>DOA</t>
  </si>
  <si>
    <t>Claire Signature Brooch</t>
  </si>
  <si>
    <t>Aksesoris</t>
  </si>
  <si>
    <t>Dewasa</t>
  </si>
  <si>
    <t>Gold, Rose Gold</t>
  </si>
  <si>
    <t>PRD0006</t>
  </si>
  <si>
    <t>doa-elaine-signature-brooch</t>
  </si>
  <si>
    <t>Elaine Signature Brooch</t>
  </si>
  <si>
    <t>Gold</t>
  </si>
  <si>
    <t>PRD0007</t>
  </si>
  <si>
    <t>doa-abelia-dress</t>
  </si>
  <si>
    <t>Abelia Dress</t>
  </si>
  <si>
    <t>Trombone</t>
  </si>
  <si>
    <t>L-XL, S-M</t>
  </si>
  <si>
    <t>PRD0008</t>
  </si>
  <si>
    <t>doa-gaenaree-dress</t>
  </si>
  <si>
    <t>Gaenaree Dress</t>
  </si>
  <si>
    <t>Pink, Taupe</t>
  </si>
  <si>
    <t>PRD0009</t>
  </si>
  <si>
    <t>doa-gasteria-dress</t>
  </si>
  <si>
    <t>Gasteria Dress</t>
  </si>
  <si>
    <t>Olive</t>
  </si>
  <si>
    <t>L-XL</t>
  </si>
  <si>
    <t>PRD0010</t>
  </si>
  <si>
    <t>doa-shahnaz-dress-kids</t>
  </si>
  <si>
    <t>Shahnaz Dress Kids</t>
  </si>
  <si>
    <t>3-4, 5-6, 7-8</t>
  </si>
  <si>
    <t>PRD0011</t>
  </si>
  <si>
    <t>doa-syahira-dress</t>
  </si>
  <si>
    <t>Syahira Dress</t>
  </si>
  <si>
    <t>PRD0012</t>
  </si>
  <si>
    <t>doa-ghina-outer</t>
  </si>
  <si>
    <t>Ghina Outer</t>
  </si>
  <si>
    <t>Outer</t>
  </si>
  <si>
    <t>Peach</t>
  </si>
  <si>
    <t>PRD0013</t>
  </si>
  <si>
    <t>doa-xavier-koko-kids</t>
  </si>
  <si>
    <t>Xavier Koko Kids</t>
  </si>
  <si>
    <t>11-12, 5-6, 7-8, 9-10</t>
  </si>
  <si>
    <t>PRD0014</t>
  </si>
  <si>
    <t>heart-troops-canola-blouse</t>
  </si>
  <si>
    <t>HEART TROOPS</t>
  </si>
  <si>
    <t>Canola Blouse</t>
  </si>
  <si>
    <t>Blouse</t>
  </si>
  <si>
    <t>PRD0015</t>
  </si>
  <si>
    <t>heart-troops-zorina-blouse</t>
  </si>
  <si>
    <t>Zorina Blouse</t>
  </si>
  <si>
    <t>Blue, Ivory</t>
  </si>
  <si>
    <t>PRD0016</t>
  </si>
  <si>
    <t>heart-troops-ayoka-dress-kids</t>
  </si>
  <si>
    <t>Ayoka Dress Kids</t>
  </si>
  <si>
    <t>12, 6, 8</t>
  </si>
  <si>
    <t>PRD0017</t>
  </si>
  <si>
    <t>heart-troops-keita-dress</t>
  </si>
  <si>
    <t>Keita Dress</t>
  </si>
  <si>
    <t>11-12, 3-4, 5-6, 7-8, 9-10</t>
  </si>
  <si>
    <t>PRD0018</t>
  </si>
  <si>
    <t>heart-troops-kenanga-dress-kids</t>
  </si>
  <si>
    <t>Kenanga Dress Kids</t>
  </si>
  <si>
    <t>3-4y, 7-8y, 9-10y</t>
  </si>
  <si>
    <t>PRD0019</t>
  </si>
  <si>
    <t>heart-troops-prish-dress-wanita</t>
  </si>
  <si>
    <t>Prish Dress Wanita</t>
  </si>
  <si>
    <t>PRD0020</t>
  </si>
  <si>
    <t>heart-troops-cempaka-pants</t>
  </si>
  <si>
    <t>Cempaka Pants</t>
  </si>
  <si>
    <t>Pants</t>
  </si>
  <si>
    <t>SM</t>
  </si>
  <si>
    <t>PRD0021</t>
  </si>
  <si>
    <t>heart-troops-manau-pants</t>
  </si>
  <si>
    <t>Manau Pants</t>
  </si>
  <si>
    <t>PRD0022</t>
  </si>
  <si>
    <t>heart-troops-nyssa-pants</t>
  </si>
  <si>
    <t>Nyssa Pants</t>
  </si>
  <si>
    <t>Pink, Silver Grey</t>
  </si>
  <si>
    <t>PRD0023</t>
  </si>
  <si>
    <t>heart-troops-cendana-set-kids</t>
  </si>
  <si>
    <t>Cendana Set Kids</t>
  </si>
  <si>
    <t>Set</t>
  </si>
  <si>
    <t>11-12y, 3-4y, 5-6y, 7-8y, 9-10y</t>
  </si>
  <si>
    <t>PRD0024</t>
  </si>
  <si>
    <t>heart-troops-pandora-set-kids</t>
  </si>
  <si>
    <t>Pandora Set Kids</t>
  </si>
  <si>
    <t>3-4</t>
  </si>
  <si>
    <t>PRD0025</t>
  </si>
  <si>
    <t>heart-troops-sekar-set-kids</t>
  </si>
  <si>
    <t>Sekar Set Kids</t>
  </si>
  <si>
    <t>Sky</t>
  </si>
  <si>
    <t>4</t>
  </si>
  <si>
    <t>PRD0026</t>
  </si>
  <si>
    <t>heart-troops-sentani-set-kids</t>
  </si>
  <si>
    <t>Sentani Set Kids</t>
  </si>
  <si>
    <t>5-6y</t>
  </si>
  <si>
    <t>PRD0027</t>
  </si>
  <si>
    <t>heart-troops-aubrey-shirt</t>
  </si>
  <si>
    <t>Aubrey Shirt</t>
  </si>
  <si>
    <t>PRD0028</t>
  </si>
  <si>
    <t>heart-troops-bhisma-koko-shirt-kids</t>
  </si>
  <si>
    <t>Bhisma Koko Shirt Kids</t>
  </si>
  <si>
    <t>Earth, Sky</t>
  </si>
  <si>
    <t>10, 4, 6, 8</t>
  </si>
  <si>
    <t>PRD0029</t>
  </si>
  <si>
    <t>heart-troops-bromo-top-beige</t>
  </si>
  <si>
    <t>Bromo Top Beige</t>
  </si>
  <si>
    <t>S/M</t>
  </si>
  <si>
    <t>PRD0030</t>
  </si>
  <si>
    <t>heart-troops-celeste-shirt</t>
  </si>
  <si>
    <t>Celeste Shirt</t>
  </si>
  <si>
    <t>Peaceful</t>
  </si>
  <si>
    <t>PRD0031</t>
  </si>
  <si>
    <t>heart-troops-celestine-beige-shirt</t>
  </si>
  <si>
    <t>Celestine Beige Shirt</t>
  </si>
  <si>
    <t>PRD0032</t>
  </si>
  <si>
    <t>heart-troops-celestine-blue-shirt</t>
  </si>
  <si>
    <t>Celestine Blue Shirt</t>
  </si>
  <si>
    <t>S-M</t>
  </si>
  <si>
    <t>PRD0033</t>
  </si>
  <si>
    <t>heart-troops-celestine-stormy-cream-shirt</t>
  </si>
  <si>
    <t>Celestine Stormy Cream Shirt</t>
  </si>
  <si>
    <t>PRD0034</t>
  </si>
  <si>
    <t>heart-troops-gaharu-koko</t>
  </si>
  <si>
    <t>Gaharu Koko</t>
  </si>
  <si>
    <t>L</t>
  </si>
  <si>
    <t>PRD0035</t>
  </si>
  <si>
    <t>heart-troops-gaharu-koko-kids</t>
  </si>
  <si>
    <t>Gaharu Koko Kids</t>
  </si>
  <si>
    <t>PRD0036</t>
  </si>
  <si>
    <t>heart-troops-jati-koko-kids</t>
  </si>
  <si>
    <t>Jati Koko Kids</t>
  </si>
  <si>
    <t>11-12y, 9-10y</t>
  </si>
  <si>
    <t>PRD0037</t>
  </si>
  <si>
    <t>heart-troops-majori-shirt</t>
  </si>
  <si>
    <t>Majori Shirt</t>
  </si>
  <si>
    <t>Blue</t>
  </si>
  <si>
    <t>PRD0038</t>
  </si>
  <si>
    <t>heart-troops-myra-top</t>
  </si>
  <si>
    <t>Myra Top</t>
  </si>
  <si>
    <t>PRD0039</t>
  </si>
  <si>
    <t>heart-troops-nayo-koko-shirt-kids</t>
  </si>
  <si>
    <t>Nayo Koko Shirt Kids</t>
  </si>
  <si>
    <t>10, 12, 4, 6, 8</t>
  </si>
  <si>
    <t>PRD0040</t>
  </si>
  <si>
    <t>heart-troops-niaz-koko-kids</t>
  </si>
  <si>
    <t>Niaz Koko Kids</t>
  </si>
  <si>
    <t>7-8, 9-10</t>
  </si>
  <si>
    <t>PRD0041</t>
  </si>
  <si>
    <t>heart-troops-reyan-koko-dewasa</t>
  </si>
  <si>
    <t>Reyan Koko Dewasa</t>
  </si>
  <si>
    <t>S, XL</t>
  </si>
  <si>
    <t>PRD0042</t>
  </si>
  <si>
    <t>heart-troops-reyan-koko-kids</t>
  </si>
  <si>
    <t>Reyan Koko Kids</t>
  </si>
  <si>
    <t>3-4, 5-6, 7-8, 9-10</t>
  </si>
  <si>
    <t>PRD0043</t>
  </si>
  <si>
    <t>heart-troops-zora-shirt</t>
  </si>
  <si>
    <t>Zora Shirt</t>
  </si>
  <si>
    <t>PRD0044</t>
  </si>
  <si>
    <t>puru-kambera-classy-plain-blouse</t>
  </si>
  <si>
    <t>PURU KAMBERA</t>
  </si>
  <si>
    <t>Classy Plain Blouse</t>
  </si>
  <si>
    <t>PRD0045</t>
  </si>
  <si>
    <t>puru-kambera-future-plain-blouse</t>
  </si>
  <si>
    <t>Future Plain Blouse</t>
  </si>
  <si>
    <t>PRD0046</t>
  </si>
  <si>
    <t>puru-kambera-lune-blouse-serut</t>
  </si>
  <si>
    <t>Lune Blouse Serut</t>
  </si>
  <si>
    <t>PRD0047</t>
  </si>
  <si>
    <t>puru-kambera-alya-midi-girl</t>
  </si>
  <si>
    <t>Alya Midi Girl</t>
  </si>
  <si>
    <t>3-4y, 5-6y</t>
  </si>
  <si>
    <t>PRD0048</t>
  </si>
  <si>
    <t>puru-kambera-kamia-alcea-dress</t>
  </si>
  <si>
    <t>Kamia - Alcea Dress</t>
  </si>
  <si>
    <t>PRD0049</t>
  </si>
  <si>
    <t>puru-kambera-yasira-midi-girl</t>
  </si>
  <si>
    <t>Yasira Midi Girl</t>
  </si>
  <si>
    <t>3-4y, 7-8y</t>
  </si>
  <si>
    <t>PRD0050</t>
  </si>
  <si>
    <t>puru-kambera-zayna-midi-girl</t>
  </si>
  <si>
    <t>Zayna Midi Girl</t>
  </si>
  <si>
    <t>3-4y</t>
  </si>
  <si>
    <t>PRD0051</t>
  </si>
  <si>
    <t>puru-kambera-azura-scarf</t>
  </si>
  <si>
    <t>Azura Scarf</t>
  </si>
  <si>
    <t>Hijab</t>
  </si>
  <si>
    <t>PRD0052</t>
  </si>
  <si>
    <t>puru-kambera-lunelle-scarf</t>
  </si>
  <si>
    <t>Lunelle Scarf</t>
  </si>
  <si>
    <t>PRD0053</t>
  </si>
  <si>
    <t>puru-kambera-reese-scarf</t>
  </si>
  <si>
    <t>Reese Scarf</t>
  </si>
  <si>
    <t>Pink</t>
  </si>
  <si>
    <t>PRD0054</t>
  </si>
  <si>
    <t>puru-kambera-riva-scarf</t>
  </si>
  <si>
    <t>Riva Scarf</t>
  </si>
  <si>
    <t>PRD0055</t>
  </si>
  <si>
    <t>puru-kambera-sekala-series-calestia-scarf</t>
  </si>
  <si>
    <t>Sekala Series - Calestia Scarf</t>
  </si>
  <si>
    <t>PRD0056</t>
  </si>
  <si>
    <t>puru-kambera-arine-blazer</t>
  </si>
  <si>
    <t>Arine Blazer</t>
  </si>
  <si>
    <t>Gray Morn</t>
  </si>
  <si>
    <t>L/XL</t>
  </si>
  <si>
    <t>PRD0057</t>
  </si>
  <si>
    <t>puru-kambera-alya-boy-shirt</t>
  </si>
  <si>
    <t>Alya Boy Shirt</t>
  </si>
  <si>
    <t>5-6y, 7-8y</t>
  </si>
  <si>
    <t>PRD0058</t>
  </si>
  <si>
    <t>puru-kambera-daria-boy-shirt</t>
  </si>
  <si>
    <t>Daria Boy Shirt</t>
  </si>
  <si>
    <t>3-4Y, 5-6Y, 7-8Y</t>
  </si>
  <si>
    <t>PRD0059</t>
  </si>
  <si>
    <t>puru-kambera-hasu-boy-shirt</t>
  </si>
  <si>
    <t>Hasu Boy Shirt</t>
  </si>
  <si>
    <t>PRD0060</t>
  </si>
  <si>
    <t>puru-kambera-himawari-boy-shirt</t>
  </si>
  <si>
    <t>Himawari Boy Shirt</t>
  </si>
  <si>
    <t>PRD0061</t>
  </si>
  <si>
    <t>puru-kambera-orla-shirt</t>
  </si>
  <si>
    <t>Orla Shirt</t>
  </si>
  <si>
    <t>PRD0062</t>
  </si>
  <si>
    <t>puru-kambera-veya-shirt</t>
  </si>
  <si>
    <t>Veya Shirt</t>
  </si>
  <si>
    <t>PRD0063</t>
  </si>
  <si>
    <t>puru-kambera-yasira-boy-shirt</t>
  </si>
  <si>
    <t>Yasira Boy Shirt</t>
  </si>
  <si>
    <t>PRD0064</t>
  </si>
  <si>
    <t>puru-kambera-nuwa-wrap-skirt</t>
  </si>
  <si>
    <t>Nuwa Wrap Skirt</t>
  </si>
  <si>
    <t>Skirt</t>
  </si>
  <si>
    <t>PRD0065</t>
  </si>
  <si>
    <t>puru-kambera-cheerful-cardigan</t>
  </si>
  <si>
    <t>Cheerful Cardigan</t>
  </si>
  <si>
    <t>Sweater</t>
  </si>
  <si>
    <t>PRD0066</t>
  </si>
  <si>
    <t>puru-kambera-cheerful-cardigan-kids-s-m</t>
  </si>
  <si>
    <t>Cheerful Cardigan Kids / S-M</t>
  </si>
  <si>
    <t>4-6Y</t>
  </si>
  <si>
    <t>PRD0067</t>
  </si>
  <si>
    <t>puru-kambera-classy-cardigan-kids-s-m</t>
  </si>
  <si>
    <t>Classy Cardigan Kids / S-M</t>
  </si>
  <si>
    <t>PRD0068</t>
  </si>
  <si>
    <t>puru-kambera-classy-cardigan-kids-s-l-xl</t>
  </si>
  <si>
    <t>Classy Cardigan Kids S/ L-XL</t>
  </si>
  <si>
    <t>8-10Y</t>
  </si>
  <si>
    <t>PRD0069</t>
  </si>
  <si>
    <t>puru-kambera-dear-cardigan-kids-l-xl</t>
  </si>
  <si>
    <t>Dear Cardigan Kids / L-XL</t>
  </si>
  <si>
    <t>PRD0070</t>
  </si>
  <si>
    <t>puru-kambera-dear-cardigan-kids-s-m</t>
  </si>
  <si>
    <t>Dear Cardigan Kids / S-M</t>
  </si>
  <si>
    <t>PRD0071</t>
  </si>
  <si>
    <t>puru-kambera-naree-knit-stormy</t>
  </si>
  <si>
    <t>Naree Knit Stormy</t>
  </si>
  <si>
    <t>PRD0072</t>
  </si>
  <si>
    <t>puru-kambera-passion-cardigan-kids-l-xl</t>
  </si>
  <si>
    <t>Passion Cardigan Kids / L-XL</t>
  </si>
  <si>
    <t>PRD0073</t>
  </si>
  <si>
    <t>puru-kambera-passion-cardigan-kids-s-m</t>
  </si>
  <si>
    <t>Passion Cardigan Kids / S-M</t>
  </si>
  <si>
    <t>PRD0074</t>
  </si>
  <si>
    <t>puru-kambera-warrior-s-heart-knitwear</t>
  </si>
  <si>
    <t>Warrior's Heart Knitwear</t>
  </si>
  <si>
    <t>Creme</t>
  </si>
  <si>
    <t>PRD0075</t>
  </si>
  <si>
    <t>puru-kambera-daria-girls-tunic</t>
  </si>
  <si>
    <t>Daria Girls Tunic</t>
  </si>
  <si>
    <t>Tunic</t>
  </si>
  <si>
    <t>5-6 Y</t>
  </si>
  <si>
    <t>PRD0076</t>
  </si>
  <si>
    <t>puru-kambera-elara-tunic</t>
  </si>
  <si>
    <t>Elara Tunic</t>
  </si>
  <si>
    <t>PRD0077</t>
  </si>
  <si>
    <t>puru-kambera-kinan-tunic</t>
  </si>
  <si>
    <t>Kinan Tunic</t>
  </si>
  <si>
    <t>PRD0078</t>
  </si>
  <si>
    <t>puru-kambera-miraya-tunic</t>
  </si>
  <si>
    <t>Miraya Tunic</t>
  </si>
  <si>
    <t>PRD0079</t>
  </si>
  <si>
    <t>tututbi-handmade-hibiscus-brooch</t>
  </si>
  <si>
    <t>TUTUTBI HANDMADE</t>
  </si>
  <si>
    <t>Hibiscus Brooch</t>
  </si>
  <si>
    <t>White Pearls</t>
  </si>
  <si>
    <t>PRD0080</t>
  </si>
  <si>
    <t>tututbi-handmade-matcha-earring</t>
  </si>
  <si>
    <t>Matcha Earring</t>
  </si>
  <si>
    <t>PRD0081</t>
  </si>
  <si>
    <t>tututbi-handmade-rosee-brooch</t>
  </si>
  <si>
    <t>Rosee Brooch</t>
  </si>
  <si>
    <t>PRD0082</t>
  </si>
  <si>
    <t>tututbi-handmade-tiara-brooch</t>
  </si>
  <si>
    <t>Tiara Brooch</t>
  </si>
  <si>
    <t>PRD0083</t>
  </si>
  <si>
    <t>tututbi-handmade-zamrud-brooch</t>
  </si>
  <si>
    <t>Zamrud Brooch</t>
  </si>
  <si>
    <t>White, Gold &amp; Green</t>
  </si>
  <si>
    <t>PRD0084</t>
  </si>
  <si>
    <t>box-box-hampers</t>
  </si>
  <si>
    <t>BOX</t>
  </si>
  <si>
    <t>Box Hampers</t>
  </si>
  <si>
    <t>PRD0085</t>
  </si>
  <si>
    <t>bamboo-studio-izreen-pants</t>
  </si>
  <si>
    <t>BAMBOO STUDIO</t>
  </si>
  <si>
    <t>Izreen Pants</t>
  </si>
  <si>
    <t>PRD0086</t>
  </si>
  <si>
    <t>bamboo-studio-moana-pants</t>
  </si>
  <si>
    <t>Moana Pants</t>
  </si>
  <si>
    <t>Army, Coffee, Navy</t>
  </si>
  <si>
    <t>PRD0087</t>
  </si>
  <si>
    <t>bamboo-studio-aileen-top</t>
  </si>
  <si>
    <t>Aileen Top</t>
  </si>
  <si>
    <t>Blue, Pink</t>
  </si>
  <si>
    <t>PRD0088</t>
  </si>
  <si>
    <t>jingga-scarves-queen-bag</t>
  </si>
  <si>
    <t>JINGGA SCARVES</t>
  </si>
  <si>
    <t>Queen Bag</t>
  </si>
  <si>
    <t>Bag</t>
  </si>
  <si>
    <t>Black</t>
  </si>
  <si>
    <t>PRD0089</t>
  </si>
  <si>
    <t>jingga-scarves-raya-dress</t>
  </si>
  <si>
    <t>Raya Dress</t>
  </si>
  <si>
    <t>Nude</t>
  </si>
  <si>
    <t>L, XL</t>
  </si>
  <si>
    <t>PRD0090</t>
  </si>
  <si>
    <t>jingga-scarves-raya-sarimbit-dress</t>
  </si>
  <si>
    <t>Raya Sarimbit Dress</t>
  </si>
  <si>
    <t>Anak Mocca</t>
  </si>
  <si>
    <t>S</t>
  </si>
  <si>
    <t>PRD0091</t>
  </si>
  <si>
    <t>jingga-scarves-mona-series</t>
  </si>
  <si>
    <t>Mona Series</t>
  </si>
  <si>
    <t>Petal</t>
  </si>
  <si>
    <t>PRD0092</t>
  </si>
  <si>
    <t>jingga-scarves-paris-original-japan</t>
  </si>
  <si>
    <t>Paris Original Japan</t>
  </si>
  <si>
    <t>Dark Purple</t>
  </si>
  <si>
    <t>PRD0093</t>
  </si>
  <si>
    <t>jingga-scarves-rangea-series</t>
  </si>
  <si>
    <t>Rangea Series</t>
  </si>
  <si>
    <t>Taupe</t>
  </si>
  <si>
    <t>PRD0094</t>
  </si>
  <si>
    <t>jingga-scarves-ina-top</t>
  </si>
  <si>
    <t>Ina Top</t>
  </si>
  <si>
    <t>White</t>
  </si>
  <si>
    <t>XL</t>
  </si>
  <si>
    <t>PRD0095</t>
  </si>
  <si>
    <t>jingga-scarves-koko-maya-set</t>
  </si>
  <si>
    <t>Koko Maya Set</t>
  </si>
  <si>
    <t>Blue, Sage</t>
  </si>
  <si>
    <t>M, S</t>
  </si>
  <si>
    <t>PRD0096</t>
  </si>
  <si>
    <t>jingga-scarves-milda-top</t>
  </si>
  <si>
    <t>Milda Top</t>
  </si>
  <si>
    <t>Lily, Mauve, Shappire, Sky Blue</t>
  </si>
  <si>
    <t>PRD0097</t>
  </si>
  <si>
    <t>jingga-scarves-raya-sarimbit-koko-anak</t>
  </si>
  <si>
    <t>Raya Sarimbit Koko Anak</t>
  </si>
  <si>
    <t>Ivory, Mocca</t>
  </si>
  <si>
    <t>L, M, XL</t>
  </si>
  <si>
    <t>PRD0098</t>
  </si>
  <si>
    <t>nabnib-candy-klip</t>
  </si>
  <si>
    <t>NABNIB</t>
  </si>
  <si>
    <t>Candy Klip</t>
  </si>
  <si>
    <t>PRD0099</t>
  </si>
  <si>
    <t>nabnib-kaos-kaki-europ</t>
  </si>
  <si>
    <t>Kaos Kaki Europ</t>
  </si>
  <si>
    <t>Dark Grey, White</t>
  </si>
  <si>
    <t>PRD0100</t>
  </si>
  <si>
    <t>nabnib-marocan-ciput</t>
  </si>
  <si>
    <t>Marocan Ciput</t>
  </si>
  <si>
    <t>Light Brown</t>
  </si>
  <si>
    <t>PRD0101</t>
  </si>
  <si>
    <t>nabnib-sila-ciput-ninja-premium</t>
  </si>
  <si>
    <t>Sila Ciput Ninja Premium</t>
  </si>
  <si>
    <t>Light Brown, Off White</t>
  </si>
  <si>
    <t>PRD0102</t>
  </si>
  <si>
    <t>nabnib-yola-voal-premium</t>
  </si>
  <si>
    <t>Yola Voal Premium</t>
  </si>
  <si>
    <t>Pink Camelia</t>
  </si>
  <si>
    <t>PRD0103</t>
  </si>
  <si>
    <t>no-brand-alika-black</t>
  </si>
  <si>
    <t>NO BRAND</t>
  </si>
  <si>
    <t>Alika Black</t>
  </si>
  <si>
    <t>PRD0104</t>
  </si>
  <si>
    <t>no-brand-alika-jade</t>
  </si>
  <si>
    <t>Alika Jade</t>
  </si>
  <si>
    <t>PRD0105</t>
  </si>
  <si>
    <t>no-brand-alika-mauve</t>
  </si>
  <si>
    <t>Alika Mauve</t>
  </si>
  <si>
    <t>PRD0106</t>
  </si>
  <si>
    <t>no-brand-anjani-pink-brooch</t>
  </si>
  <si>
    <t>Anjani Pink Brooch</t>
  </si>
  <si>
    <t>PRD0107</t>
  </si>
  <si>
    <t>no-brand-camila-necklace-beads</t>
  </si>
  <si>
    <t>Camila Necklace Beads</t>
  </si>
  <si>
    <t>PRD0108</t>
  </si>
  <si>
    <t>no-brand-chloe-ear-clip</t>
  </si>
  <si>
    <t>Chloe Ear Clip</t>
  </si>
  <si>
    <t>PRD0109</t>
  </si>
  <si>
    <t>no-brand-etzu-statement-brooch</t>
  </si>
  <si>
    <t>Etzu Statement Brooch</t>
  </si>
  <si>
    <t>PRD0110</t>
  </si>
  <si>
    <t>no-brand-gamila-statement-brooch</t>
  </si>
  <si>
    <t>Gamila Statement Brooch</t>
  </si>
  <si>
    <t>PRD0111</t>
  </si>
  <si>
    <t>no-brand-kalu-black</t>
  </si>
  <si>
    <t>Kalu Black</t>
  </si>
  <si>
    <t>PRD0112</t>
  </si>
  <si>
    <t>no-brand-kiara-necklace-beads</t>
  </si>
  <si>
    <t>Kiara Necklace Beads</t>
  </si>
  <si>
    <t>Black, Blossom</t>
  </si>
  <si>
    <t>PRD0113</t>
  </si>
  <si>
    <t>no-brand-lucie-statement-brooch</t>
  </si>
  <si>
    <t>Lucie Statement Brooch</t>
  </si>
  <si>
    <t>PRD0114</t>
  </si>
  <si>
    <t>no-brand-mini-brooch-chloe-brooch</t>
  </si>
  <si>
    <t>Mini Brooch - Chloe Brooch</t>
  </si>
  <si>
    <t>PRD0115</t>
  </si>
  <si>
    <t>no-brand-mona-ear-clip</t>
  </si>
  <si>
    <t>Mona Ear Clip</t>
  </si>
  <si>
    <t>PRD0116</t>
  </si>
  <si>
    <t>no-brand-sarayu-statement-brooch</t>
  </si>
  <si>
    <t>Sarayu Statement Brooch</t>
  </si>
  <si>
    <t>Emerald</t>
  </si>
  <si>
    <t>PRD0117</t>
  </si>
  <si>
    <t>no-brand-savana-ear-clip</t>
  </si>
  <si>
    <t>Savana Ear Clip</t>
  </si>
  <si>
    <t>PRD0118</t>
  </si>
  <si>
    <t>no-brand-sena-ear-clip</t>
  </si>
  <si>
    <t>Sena Ear Clip</t>
  </si>
  <si>
    <t>PRD0119</t>
  </si>
  <si>
    <t>no-brand-sonya-ear-clip</t>
  </si>
  <si>
    <t>Sonya Ear Clip</t>
  </si>
  <si>
    <t>PRD0120</t>
  </si>
  <si>
    <t>no-brand-tajana-brooch</t>
  </si>
  <si>
    <t>Tajana Brooch</t>
  </si>
  <si>
    <t>Black, Maroon</t>
  </si>
  <si>
    <t>PRD0121</t>
  </si>
  <si>
    <t>no-brand-yeona-statement-brooch</t>
  </si>
  <si>
    <t>Yeona Statement Brooch</t>
  </si>
  <si>
    <t>Black Amethyst, Creamy, Full Black</t>
  </si>
  <si>
    <t>PRD0122</t>
  </si>
  <si>
    <t>no-brand-post-bag</t>
  </si>
  <si>
    <t>Post Bag</t>
  </si>
  <si>
    <t>Silver</t>
  </si>
  <si>
    <t>PRD0123</t>
  </si>
  <si>
    <t>no-brand-kirana-paris</t>
  </si>
  <si>
    <t>Kirana Paris</t>
  </si>
  <si>
    <t>Brown Muffin, Burgundy</t>
  </si>
  <si>
    <t>PRD0124</t>
  </si>
  <si>
    <t>no-brand-pashmina-nour</t>
  </si>
  <si>
    <t>Pashmina Nour</t>
  </si>
  <si>
    <t>Brown Muffin, Muffin, Tea Rose</t>
  </si>
  <si>
    <t>PRD0125</t>
  </si>
  <si>
    <t>no-brand-yasmeen-mukena-traveling</t>
  </si>
  <si>
    <t>Yasmeen Mukena Traveling</t>
  </si>
  <si>
    <t>Mukena</t>
  </si>
  <si>
    <t>Blush</t>
  </si>
  <si>
    <t>PRD0126</t>
  </si>
  <si>
    <t>no-brand-barrel-pants</t>
  </si>
  <si>
    <t>Barrel Pants</t>
  </si>
  <si>
    <t>Jet Black, Oat, White</t>
  </si>
  <si>
    <t>Bigi Size, Reg Size</t>
  </si>
  <si>
    <t>PRD0127</t>
  </si>
  <si>
    <t>no-brand-kaya-top</t>
  </si>
  <si>
    <t>Kaya Top</t>
  </si>
  <si>
    <t>Cream Sage</t>
  </si>
  <si>
    <t>PRD0128</t>
  </si>
  <si>
    <t>no-brand-livia-high-neck-top</t>
  </si>
  <si>
    <t>Livia High Neck Top</t>
  </si>
  <si>
    <t>Black, Dark Brown</t>
  </si>
  <si>
    <t>LXL, SM</t>
  </si>
  <si>
    <t>PRD0129</t>
  </si>
  <si>
    <t>no-brand-polka-shirt</t>
  </si>
  <si>
    <t>Polka Shirt</t>
  </si>
  <si>
    <t>Black, Broken White</t>
  </si>
  <si>
    <t>PRD0130</t>
  </si>
  <si>
    <t>nisa-jihan-outer</t>
  </si>
  <si>
    <t>NISA</t>
  </si>
  <si>
    <t>Jihan Outer</t>
  </si>
  <si>
    <t>Mauve</t>
  </si>
  <si>
    <t>PRD0131</t>
  </si>
  <si>
    <t>nisa-lesty-kaftan</t>
  </si>
  <si>
    <t>Lesty Kaftan</t>
  </si>
  <si>
    <t>Mocca</t>
  </si>
  <si>
    <t>PRD0132</t>
  </si>
  <si>
    <t>anindyascarf-alesha-dress</t>
  </si>
  <si>
    <t>ANINDYASCARF</t>
  </si>
  <si>
    <t>Alesha Dress</t>
  </si>
  <si>
    <t>Peach Blue, Pink Grey</t>
  </si>
  <si>
    <t>L, XL, XXL</t>
  </si>
  <si>
    <t>PRD0133</t>
  </si>
  <si>
    <t>anindyascarf-fayla-dress</t>
  </si>
  <si>
    <t>Fayla Dress</t>
  </si>
  <si>
    <t>Pink, Purple</t>
  </si>
  <si>
    <t>PRD0134</t>
  </si>
  <si>
    <t>anindyascarf-ishwari-dress-anak</t>
  </si>
  <si>
    <t>Ishwari Dress Anak</t>
  </si>
  <si>
    <t>Brown</t>
  </si>
  <si>
    <t>4y</t>
  </si>
  <si>
    <t>PRD0135</t>
  </si>
  <si>
    <t>anindyascarf-kayla-dress</t>
  </si>
  <si>
    <t>Kayla Dress</t>
  </si>
  <si>
    <t>Maroon</t>
  </si>
  <si>
    <t>PRD0136</t>
  </si>
  <si>
    <t>anindyascarf-rafea-dress</t>
  </si>
  <si>
    <t>Rafea Dress</t>
  </si>
  <si>
    <t>Blue Grey, BW Pink, Purple</t>
  </si>
  <si>
    <t>PRD0137</t>
  </si>
  <si>
    <t>anindyascarf-ranjana-dress-anak</t>
  </si>
  <si>
    <t>Ranjana Dress Anak</t>
  </si>
  <si>
    <t>Woodsmoke</t>
  </si>
  <si>
    <t>6y, 8y</t>
  </si>
  <si>
    <t>PRD0138</t>
  </si>
  <si>
    <t>anindyascarf-ishwari-koko-anak</t>
  </si>
  <si>
    <t>Ishwari Koko Anak</t>
  </si>
  <si>
    <t>Black, Brown, Off White</t>
  </si>
  <si>
    <t>PRD0139</t>
  </si>
  <si>
    <t>anindyascarf-ranjana-koko-anak</t>
  </si>
  <si>
    <t>Ranjana Koko Anak</t>
  </si>
  <si>
    <t>PRD0140</t>
  </si>
  <si>
    <t>anindyascarf-syauqi-koko-anak</t>
  </si>
  <si>
    <t>Syauqi Koko Anak</t>
  </si>
  <si>
    <t>Black, Grey, Mocca, Purple</t>
  </si>
  <si>
    <t>L, M, S, XL</t>
  </si>
  <si>
    <t>PRD0141</t>
  </si>
  <si>
    <t>wmd-lou-instant-hijab-sleek</t>
  </si>
  <si>
    <t>WMD</t>
  </si>
  <si>
    <t>Lou Instant Hijab (Sleek)</t>
  </si>
  <si>
    <t>Ash Violet, Choco Latte</t>
  </si>
  <si>
    <t>PRD0142</t>
  </si>
  <si>
    <t>wmd-lou-instant-hijab-wave</t>
  </si>
  <si>
    <t>Lou Instant Hijab (Wave)</t>
  </si>
  <si>
    <t>Ivory</t>
  </si>
  <si>
    <t>PRD0143</t>
  </si>
  <si>
    <t>wmd-paris-japan</t>
  </si>
  <si>
    <t>Paris Japan</t>
  </si>
  <si>
    <t>Salmon</t>
  </si>
  <si>
    <t>PRD0144</t>
  </si>
  <si>
    <t>rafika-amabel-dress</t>
  </si>
  <si>
    <t>RAFIKA</t>
  </si>
  <si>
    <t>Amabel Dress</t>
  </si>
  <si>
    <t>Black, Maroon, Milo, Nill Green</t>
  </si>
  <si>
    <t>PRD0145</t>
  </si>
  <si>
    <t>preloved-slight-clutch</t>
  </si>
  <si>
    <t>PRELOVED</t>
  </si>
  <si>
    <t>Slight Clutch</t>
  </si>
  <si>
    <t>Preloved</t>
  </si>
  <si>
    <t>PRD0146</t>
  </si>
  <si>
    <t>preloved-famouscarf-2-dress</t>
  </si>
  <si>
    <t>Famouscarf 2 Dress</t>
  </si>
  <si>
    <t>M</t>
  </si>
  <si>
    <t>PRD0147</t>
  </si>
  <si>
    <t>preloved-bs-x-laica-athleisure-legging</t>
  </si>
  <si>
    <t>BS x Laica - Athleisure Legging</t>
  </si>
  <si>
    <t>PRD0148</t>
  </si>
  <si>
    <t>preloved-kienka-millow-pants</t>
  </si>
  <si>
    <t>Kienka - Millow Pants</t>
  </si>
  <si>
    <t>PRD0149</t>
  </si>
  <si>
    <t>preloved-sarah-the-label-viscose-pants-semi-cutbray</t>
  </si>
  <si>
    <t>Sarah The Label - Viscose Pants Semi Cutbray</t>
  </si>
  <si>
    <t>PRD0150</t>
  </si>
  <si>
    <t>preloved-niaz-koko-kids</t>
  </si>
  <si>
    <t>5-6</t>
  </si>
  <si>
    <t>PRD0151</t>
  </si>
  <si>
    <t>preloved-rm-rasuna-koko-kids</t>
  </si>
  <si>
    <t>RM - Rasuna Koko Kids</t>
  </si>
  <si>
    <t>PRD0152</t>
  </si>
  <si>
    <t>preloved-sarah-the-label-inner-gold-muda</t>
  </si>
  <si>
    <t>Sarah The Label - Inner Gold Muda</t>
  </si>
  <si>
    <t>PRD0153</t>
  </si>
  <si>
    <t>preloved-nike-air-max</t>
  </si>
  <si>
    <t>Nike Air Max</t>
  </si>
  <si>
    <t>Shoes</t>
  </si>
  <si>
    <t>White - US 1Y</t>
  </si>
  <si>
    <t>PRD0154</t>
  </si>
  <si>
    <t>preloved-nike-omni-multi-court-little-kids</t>
  </si>
  <si>
    <t>Nike Omni Multi Court Little Kids</t>
  </si>
  <si>
    <t>PRD0155</t>
  </si>
  <si>
    <t>preloved-nike-women-air-max-280-react</t>
  </si>
  <si>
    <t>Nike Women Air Max 280 React</t>
  </si>
  <si>
    <t>Cinnamon Gold</t>
  </si>
  <si>
    <t>PRD0156</t>
  </si>
  <si>
    <t>preloved-shoes-po-china</t>
  </si>
  <si>
    <t>Shoes PO China</t>
  </si>
  <si>
    <t>39</t>
  </si>
  <si>
    <t>PRD0157</t>
  </si>
  <si>
    <t>preloved-sarah-the-label-rok-lilit-set-outer-batik</t>
  </si>
  <si>
    <t>Sarah The Label - Rok Lilit Set Outer Batik</t>
  </si>
  <si>
    <t>PRD0158</t>
  </si>
  <si>
    <t>preloved-sarah-the-label-set-outer-inner-rok-lilit</t>
  </si>
  <si>
    <t>Sarah The Label - Set Outer inner + Rok lilit</t>
  </si>
  <si>
    <t>PRD0159</t>
  </si>
  <si>
    <t>preloved-3x-klamby-andaya-tunic</t>
  </si>
  <si>
    <t>3x Klamby - Andaya Tunic</t>
  </si>
  <si>
    <t>PRD0160</t>
  </si>
  <si>
    <t>kamila-wardrobe-alur-dress-kids</t>
  </si>
  <si>
    <t>KAMILA WARDROBE</t>
  </si>
  <si>
    <t>Alur Dress Kids</t>
  </si>
  <si>
    <t>Broken White, Powder Blue</t>
  </si>
  <si>
    <t>PRD0161</t>
  </si>
  <si>
    <t>kamila-wardrobe-backyard-series</t>
  </si>
  <si>
    <t>Backyard Series</t>
  </si>
  <si>
    <t>Denim</t>
  </si>
  <si>
    <t>PRD0162</t>
  </si>
  <si>
    <t>kamila-wardrobe-serenity-series</t>
  </si>
  <si>
    <t>Serenity Series</t>
  </si>
  <si>
    <t>Blush, Yellow</t>
  </si>
  <si>
    <t>PRD0163</t>
  </si>
  <si>
    <t>kamila-wardrobe-della-set</t>
  </si>
  <si>
    <t>Della Set</t>
  </si>
  <si>
    <t>Black, Mahogany</t>
  </si>
  <si>
    <t>PRD0164</t>
  </si>
  <si>
    <t>kamila-wardrobe-sabiya-set</t>
  </si>
  <si>
    <t>Sabiya Set</t>
  </si>
  <si>
    <t>Sage</t>
  </si>
  <si>
    <t>PRD0165</t>
  </si>
  <si>
    <t>kamila-wardrobe-alur-koko</t>
  </si>
  <si>
    <t>Alur Koko</t>
  </si>
  <si>
    <t>L, S</t>
  </si>
  <si>
    <t>PRD0166</t>
  </si>
  <si>
    <t>kamila-wardrobe-alur-koko-kids</t>
  </si>
  <si>
    <t>Alur Koko Kids</t>
  </si>
  <si>
    <t>XXL</t>
  </si>
  <si>
    <t>SKU</t>
  </si>
  <si>
    <t>NAMA_BARANG_ASLI</t>
  </si>
  <si>
    <t>WARNA_MOTIF</t>
  </si>
  <si>
    <t>UKURAN</t>
  </si>
  <si>
    <t>HARGA</t>
  </si>
  <si>
    <t>STOK</t>
  </si>
  <si>
    <t>STATUS_STOK</t>
  </si>
  <si>
    <t>1M20365XX3</t>
  </si>
  <si>
    <t>Asha Dress Kids - Coklat (L)</t>
  </si>
  <si>
    <t>Coklat</t>
  </si>
  <si>
    <t>1M20384XX2</t>
  </si>
  <si>
    <t>Asha Dress Kids - Coklat (M)</t>
  </si>
  <si>
    <t>1M20438XX1</t>
  </si>
  <si>
    <t>Asha Dress Kids - Coklat (S)</t>
  </si>
  <si>
    <t>1M20378XX3</t>
  </si>
  <si>
    <t>Asha Dress Kids - Putih (L)</t>
  </si>
  <si>
    <t>Putih</t>
  </si>
  <si>
    <t>1M20377XX2</t>
  </si>
  <si>
    <t>Asha Dress Kids - Putih (M)</t>
  </si>
  <si>
    <t>1M20367XX3</t>
  </si>
  <si>
    <t>Asha Dress Kids - Salem (L)</t>
  </si>
  <si>
    <t>Salem</t>
  </si>
  <si>
    <t>1M20366XX2</t>
  </si>
  <si>
    <t>Asha Dress Kids - Salem (M)</t>
  </si>
  <si>
    <t>1M20440XX1</t>
  </si>
  <si>
    <t>Asha Dress Kids - Salem (S)</t>
  </si>
  <si>
    <t>1M20371XX3</t>
  </si>
  <si>
    <t>Asha Dress Kids - Taupe (L)</t>
  </si>
  <si>
    <t>1M20441XX1</t>
  </si>
  <si>
    <t>Asha Dress Kids - Taupe (S)</t>
  </si>
  <si>
    <t>1M20372XX2</t>
  </si>
  <si>
    <t>Asha Dress Kids - Ungu (M)</t>
  </si>
  <si>
    <t>Ungu</t>
  </si>
  <si>
    <t>1M30346XY3</t>
  </si>
  <si>
    <t>Asha Koko Kids - Coklat (L)</t>
  </si>
  <si>
    <t>1M30345XY2</t>
  </si>
  <si>
    <t>Asha Koko Kids - Coklat (M)</t>
  </si>
  <si>
    <t>1M30344XY1</t>
  </si>
  <si>
    <t>Asha Koko Kids - Coklat (S)</t>
  </si>
  <si>
    <t>1M30349XY3</t>
  </si>
  <si>
    <t>Asha Koko Kids - Putih (L)</t>
  </si>
  <si>
    <t>1M30348XY2</t>
  </si>
  <si>
    <t>Asha Koko Kids - Putih (M)</t>
  </si>
  <si>
    <t>1M30347XY1</t>
  </si>
  <si>
    <t>Asha Koko Kids - Putih (S)</t>
  </si>
  <si>
    <t>1M30445XY3</t>
  </si>
  <si>
    <t>Asha Koko Kids - Salem (L)</t>
  </si>
  <si>
    <t>1M30444XY2</t>
  </si>
  <si>
    <t>Asha Koko Kids - Salem (M)</t>
  </si>
  <si>
    <t>1M30443XY1</t>
  </si>
  <si>
    <t>Asha Koko Kids - Salem (S)</t>
  </si>
  <si>
    <t>1M30352XY3</t>
  </si>
  <si>
    <t>Asha Koko Kids - Taupe (L)</t>
  </si>
  <si>
    <t>1M30351XY2</t>
  </si>
  <si>
    <t>Asha Koko Kids - Taupe (M)</t>
  </si>
  <si>
    <t>1M30350XY1</t>
  </si>
  <si>
    <t>Asha Koko Kids - Taupe (S)</t>
  </si>
  <si>
    <t>1M30448XY3</t>
  </si>
  <si>
    <t>Asha Koko Kids - Ungu (L)</t>
  </si>
  <si>
    <t>1M30447XY2</t>
  </si>
  <si>
    <t>Asha Koko Kids - Ungu (M)</t>
  </si>
  <si>
    <t>1M30446XY1</t>
  </si>
  <si>
    <t>Asha Koko Kids - Ungu (S)</t>
  </si>
  <si>
    <t>1M20002X2</t>
  </si>
  <si>
    <t>Dress Kids - Maison de Serein (Biru Muda) / M</t>
  </si>
  <si>
    <t>Biru Muda</t>
  </si>
  <si>
    <t>1M20003X3</t>
  </si>
  <si>
    <t>Dress Kids - Maison de Serein (Choco Taupe) / L</t>
  </si>
  <si>
    <t>Choco Taupe</t>
  </si>
  <si>
    <t>1M20003X2</t>
  </si>
  <si>
    <t>Dress Kids - Maison de Serein (Choco Taupe) / M</t>
  </si>
  <si>
    <t>1M20004X3</t>
  </si>
  <si>
    <t>Dress Kids - Maison de Serein (Coklat Manis) / L</t>
  </si>
  <si>
    <t>Coklat Manis</t>
  </si>
  <si>
    <t>1M20004X2</t>
  </si>
  <si>
    <t>Dress Kids - Maison de Serein (Coklat Manis) / M</t>
  </si>
  <si>
    <t>1M20004X1</t>
  </si>
  <si>
    <t>Dress Kids - Maison de Serein (Coklat Manis) / S</t>
  </si>
  <si>
    <t>1M30002Y3</t>
  </si>
  <si>
    <t>Shirt Kids - Maison de Serein (Biru Muda) / L</t>
  </si>
  <si>
    <t>1M30002Y2</t>
  </si>
  <si>
    <t>Shirt Kids - Maison de Serein (Biru Muda) / M</t>
  </si>
  <si>
    <t>1M30002Y1</t>
  </si>
  <si>
    <t>Shirt Kids - Maison de Serein (Biru Muda) / S</t>
  </si>
  <si>
    <t>1M30003Y3</t>
  </si>
  <si>
    <t>Shirt Kids - Maison de Serein (Choco Taupe) / L</t>
  </si>
  <si>
    <t>1M30003Y2</t>
  </si>
  <si>
    <t>Shirt Kids - Maison de Serein (Choco Taupe) / M</t>
  </si>
  <si>
    <t>2M20561XX4</t>
  </si>
  <si>
    <t>Abelia Dress - Trombone (L-XL)</t>
  </si>
  <si>
    <t>2M20560XX2</t>
  </si>
  <si>
    <t>Abelia Dress - Trombone (S-M)</t>
  </si>
  <si>
    <t>2M50023XX0</t>
  </si>
  <si>
    <t>Claire Signature Brooch - Gold</t>
  </si>
  <si>
    <t>2M50022XX0</t>
  </si>
  <si>
    <t>Claire Signature Brooch - Rose Gold</t>
  </si>
  <si>
    <t>Rose Gold</t>
  </si>
  <si>
    <t>2M50024XX0</t>
  </si>
  <si>
    <t>Elaine Signature Brooch - Gold</t>
  </si>
  <si>
    <t>2M20599XX4</t>
  </si>
  <si>
    <t>Gaenaree Dress - Pink (L-XL)</t>
  </si>
  <si>
    <t>2M20598XX2</t>
  </si>
  <si>
    <t>Gaenaree Dress - Pink (S-M)</t>
  </si>
  <si>
    <t>2M20601XX4</t>
  </si>
  <si>
    <t>Gaenaree Dress - Taupe (L-XL)</t>
  </si>
  <si>
    <t>2M20563XX4</t>
  </si>
  <si>
    <t>Gasteria Dress - Olive (L-XL)</t>
  </si>
  <si>
    <t>2M140893XX0</t>
  </si>
  <si>
    <t>Ghina Outer - Peach</t>
  </si>
  <si>
    <t>2M20695XX1</t>
  </si>
  <si>
    <t>Shahnaz Dress Kids (3-4)</t>
  </si>
  <si>
    <t>2M20696XX2</t>
  </si>
  <si>
    <t>Shahnaz Dress Kids (5-6)</t>
  </si>
  <si>
    <t>2M20697XX3</t>
  </si>
  <si>
    <t>Shahnaz Dress Kids (7-8)</t>
  </si>
  <si>
    <t>7-8</t>
  </si>
  <si>
    <t>2M20699XX4</t>
  </si>
  <si>
    <t>Syahira Dress (L-XL)</t>
  </si>
  <si>
    <t>2M30703XY5</t>
  </si>
  <si>
    <t>Xavier Koko Kids (11-12)</t>
  </si>
  <si>
    <t>11-12</t>
  </si>
  <si>
    <t>2M30700XY2</t>
  </si>
  <si>
    <t>Xavier Koko Kids (5-6)</t>
  </si>
  <si>
    <t>2M30701XY3</t>
  </si>
  <si>
    <t>Xavier Koko Kids (7-8)</t>
  </si>
  <si>
    <t>2M30702XY4</t>
  </si>
  <si>
    <t>Xavier Koko Kids (9-10)</t>
  </si>
  <si>
    <t>9-10</t>
  </si>
  <si>
    <t>3M30333XX4</t>
  </si>
  <si>
    <t>Aubrey Shirt (L-XL)</t>
  </si>
  <si>
    <t>3M20054X0</t>
  </si>
  <si>
    <t>Ayoka Dress Kids / 12</t>
  </si>
  <si>
    <t>12</t>
  </si>
  <si>
    <t>3M20051X0</t>
  </si>
  <si>
    <t>Ayoka Dress Kids / 6</t>
  </si>
  <si>
    <t>6</t>
  </si>
  <si>
    <t>3M20052X0</t>
  </si>
  <si>
    <t>Ayoka Dress Kids / 8</t>
  </si>
  <si>
    <t>8</t>
  </si>
  <si>
    <t>3M30410XY4</t>
  </si>
  <si>
    <t>Bhisma Koko Shirt Kids - Earth (10)</t>
  </si>
  <si>
    <t>Earth</t>
  </si>
  <si>
    <t>10</t>
  </si>
  <si>
    <t>3M30407XY1</t>
  </si>
  <si>
    <t>Bhisma Koko Shirt Kids - Earth (4)</t>
  </si>
  <si>
    <t>3M30408XY2</t>
  </si>
  <si>
    <t>Bhisma Koko Shirt Kids - Earth (6)</t>
  </si>
  <si>
    <t>3M30409XY3</t>
  </si>
  <si>
    <t>Bhisma Koko Shirt Kids - Earth (8)</t>
  </si>
  <si>
    <t>3M30405XY4</t>
  </si>
  <si>
    <t>Bhisma Koko Shirt Kids - Sky (10)</t>
  </si>
  <si>
    <t>3M30402XY1</t>
  </si>
  <si>
    <t>Bhisma Koko Shirt Kids - Sky (4)</t>
  </si>
  <si>
    <t>3M30404XY3</t>
  </si>
  <si>
    <t>Bhisma Koko Shirt Kids - Sky (8)</t>
  </si>
  <si>
    <t>3M31117XX2</t>
  </si>
  <si>
    <t>Bromo Top Beige (S/M)</t>
  </si>
  <si>
    <t>3M100062XX0</t>
  </si>
  <si>
    <t>3M30331XX4</t>
  </si>
  <si>
    <t>Celeste Shirt - Peaceful (L-XL)</t>
  </si>
  <si>
    <t>3M30622XX4</t>
  </si>
  <si>
    <t>Celestine Beige Shirt (L-XL)</t>
  </si>
  <si>
    <t>3M30616XX2</t>
  </si>
  <si>
    <t>Celestine Blue Shirt (S-M)</t>
  </si>
  <si>
    <t>3M31380XX4</t>
  </si>
  <si>
    <t>Celestine Stormy Cream Shirt (L-XL)</t>
  </si>
  <si>
    <t>3M31379XX2</t>
  </si>
  <si>
    <t>Celestine Stormy Cream Shirt (S-M)</t>
  </si>
  <si>
    <t>3M131931XX2</t>
  </si>
  <si>
    <t>Cempaka Pants (SM)</t>
  </si>
  <si>
    <t>3M111917XX5</t>
  </si>
  <si>
    <t>Cendana Set Kids (11-12y)</t>
  </si>
  <si>
    <t>11-12y</t>
  </si>
  <si>
    <t>3M111913XX1</t>
  </si>
  <si>
    <t>Cendana Set Kids (3-4y)</t>
  </si>
  <si>
    <t>3M111914XX2</t>
  </si>
  <si>
    <t>Cendana Set Kids (5-6y)</t>
  </si>
  <si>
    <t>3M111915XX3</t>
  </si>
  <si>
    <t>Cendana Set Kids (7-8y)</t>
  </si>
  <si>
    <t>7-8y</t>
  </si>
  <si>
    <t>3M111916XX4</t>
  </si>
  <si>
    <t>Cendana Set Kids (9-10y)</t>
  </si>
  <si>
    <t>9-10y</t>
  </si>
  <si>
    <t>3M31738XY3</t>
  </si>
  <si>
    <t>Gaharu Koko (L)</t>
  </si>
  <si>
    <t>3M31758XY5</t>
  </si>
  <si>
    <t>Gaharu Koko Kids (11-12y)</t>
  </si>
  <si>
    <t>3M31756XY1</t>
  </si>
  <si>
    <t>Gaharu Koko Kids (3-4y)</t>
  </si>
  <si>
    <t>3M31740XY2</t>
  </si>
  <si>
    <t>Gaharu Koko Kids (5-6y)</t>
  </si>
  <si>
    <t>3M31741XY3</t>
  </si>
  <si>
    <t>Gaharu Koko Kids (7-8y)</t>
  </si>
  <si>
    <t>3M31757XY4</t>
  </si>
  <si>
    <t>Gaharu Koko Kids (9-10y)</t>
  </si>
  <si>
    <t>3M31930XY5</t>
  </si>
  <si>
    <t>Jati Koko Kids (11-12y)</t>
  </si>
  <si>
    <t>3M31929XY4</t>
  </si>
  <si>
    <t>Jati Koko Kids (9-10y)</t>
  </si>
  <si>
    <t>3M20634XX5</t>
  </si>
  <si>
    <t>Keita Dress (11-12)</t>
  </si>
  <si>
    <t>3M20630XX1</t>
  </si>
  <si>
    <t>Keita Dress (3-4)</t>
  </si>
  <si>
    <t>3M20631XX2</t>
  </si>
  <si>
    <t>Keita Dress (5-6)</t>
  </si>
  <si>
    <t>3M20632XX3</t>
  </si>
  <si>
    <t>Keita Dress (7-8)</t>
  </si>
  <si>
    <t>3M20633XX4</t>
  </si>
  <si>
    <t>Keita Dress (9-10)</t>
  </si>
  <si>
    <t>3M21752XX1</t>
  </si>
  <si>
    <t>Kenanga Dress Kids (3-4y)</t>
  </si>
  <si>
    <t>3M21799XX3</t>
  </si>
  <si>
    <t>Kenanga Dress Kids (7-8y)</t>
  </si>
  <si>
    <t>3M21754XX4</t>
  </si>
  <si>
    <t>Kenanga Dress Kids (9-10y)</t>
  </si>
  <si>
    <t>3M30059XX0</t>
  </si>
  <si>
    <t>Majori Shirt - Blue / L-XL</t>
  </si>
  <si>
    <t>3M131920XX2</t>
  </si>
  <si>
    <t>Manau Pants (SM)</t>
  </si>
  <si>
    <t>3M30061XX4</t>
  </si>
  <si>
    <t>Myra Top / L-XL</t>
  </si>
  <si>
    <t>3M30060XX2</t>
  </si>
  <si>
    <t>Myra Top / S-M</t>
  </si>
  <si>
    <t>3M30391XY4</t>
  </si>
  <si>
    <t>Nayo Koko Shirt Kids (10)</t>
  </si>
  <si>
    <t>3M30392XY5</t>
  </si>
  <si>
    <t>Nayo Koko Shirt Kids (12)</t>
  </si>
  <si>
    <t>3M30388XY1</t>
  </si>
  <si>
    <t>Nayo Koko Shirt Kids (4)</t>
  </si>
  <si>
    <t>3M30389XY2</t>
  </si>
  <si>
    <t>Nayo Koko Shirt Kids (6)</t>
  </si>
  <si>
    <t>3M30390XY3</t>
  </si>
  <si>
    <t>Nayo Koko Shirt Kids (8)</t>
  </si>
  <si>
    <t>3M30526XY3</t>
  </si>
  <si>
    <t>Niaz Koko Kids (7-8)</t>
  </si>
  <si>
    <t>3M30527XY4</t>
  </si>
  <si>
    <t>Niaz Koko Kids (9-10)</t>
  </si>
  <si>
    <t>3M130078XX0</t>
  </si>
  <si>
    <t>Nyssa Pants - Pink</t>
  </si>
  <si>
    <t>3M130079XX0</t>
  </si>
  <si>
    <t>Nyssa Pants - Silver Grey</t>
  </si>
  <si>
    <t>Silver Grey</t>
  </si>
  <si>
    <t>3M110533XX1</t>
  </si>
  <si>
    <t>Pandora Set Kids (3-4)</t>
  </si>
  <si>
    <t>3M20523XX4</t>
  </si>
  <si>
    <t>Prish Dress Wanita (L-XL)</t>
  </si>
  <si>
    <t>3M30608XY1</t>
  </si>
  <si>
    <t>Reyan Koko Dewasa (S)</t>
  </si>
  <si>
    <t>3M30628XY4</t>
  </si>
  <si>
    <t>Reyan Koko Dewasa (XL)</t>
  </si>
  <si>
    <t>3M30606XY1</t>
  </si>
  <si>
    <t>Reyan Koko Kids (3-4)</t>
  </si>
  <si>
    <t>3M30625XY2</t>
  </si>
  <si>
    <t>Reyan Koko Kids (5-6)</t>
  </si>
  <si>
    <t>3M30607XY3</t>
  </si>
  <si>
    <t>Reyan Koko Kids (7-8)</t>
  </si>
  <si>
    <t>3M30626XY4</t>
  </si>
  <si>
    <t>Reyan Koko Kids (9-10)</t>
  </si>
  <si>
    <t>3M110339XX0</t>
  </si>
  <si>
    <t>Sekar Set Kids - Sky (4)</t>
  </si>
  <si>
    <t>3M111717XX2</t>
  </si>
  <si>
    <t>Sentani Set Kids (5-6y)</t>
  </si>
  <si>
    <t>3M31386XX0</t>
  </si>
  <si>
    <t>Zora Shirt - Blue</t>
  </si>
  <si>
    <t>3M101388XX4</t>
  </si>
  <si>
    <t>Zorina Blouse - Blue (L-XL)</t>
  </si>
  <si>
    <t>3M101385XX4</t>
  </si>
  <si>
    <t>Zorina Blouse - Ivory (L-XL)</t>
  </si>
  <si>
    <t>4M31896XY2</t>
  </si>
  <si>
    <t>Alya Boy Shirt (5-6y)</t>
  </si>
  <si>
    <t>4M31773XY3</t>
  </si>
  <si>
    <t>Alya Boy Shirt (7-8y)</t>
  </si>
  <si>
    <t>4M21897XX1</t>
  </si>
  <si>
    <t>Alya Midi Girl (3-4y)</t>
  </si>
  <si>
    <t>4M21898XX2</t>
  </si>
  <si>
    <t>Alya Midi Girl (5-6y)</t>
  </si>
  <si>
    <t>4M140492XX4</t>
  </si>
  <si>
    <t>Arine Blazer - Gray Morn (L/XL)</t>
  </si>
  <si>
    <t>4M11820XX0</t>
  </si>
  <si>
    <t>4M40107XX0</t>
  </si>
  <si>
    <t>4M40108X2</t>
  </si>
  <si>
    <t>Cheerful Cardigan Kids / S-M (4-6Y)</t>
  </si>
  <si>
    <t>4M40114X2</t>
  </si>
  <si>
    <t>Classy Cardigan Kids / S-M (4-6Y)</t>
  </si>
  <si>
    <t>4M40115X4</t>
  </si>
  <si>
    <t>Classy Cardigan Kids S/ L-XL (8-10Y)</t>
  </si>
  <si>
    <t>4M100120XX4</t>
  </si>
  <si>
    <t>Classy Plain Blouse / L-XL</t>
  </si>
  <si>
    <t>4M30126Y0</t>
  </si>
  <si>
    <t>Daria Boy Shirt (3-4Y)</t>
  </si>
  <si>
    <t>3-4Y</t>
  </si>
  <si>
    <t>4M30127Y0</t>
  </si>
  <si>
    <t>Daria Boy Shirt (5-6Y)</t>
  </si>
  <si>
    <t>5-6Y</t>
  </si>
  <si>
    <t>4M30128Y0</t>
  </si>
  <si>
    <t>Daria Boy Shirt (7-8Y)</t>
  </si>
  <si>
    <t>7-8Y</t>
  </si>
  <si>
    <t>4M120130X0</t>
  </si>
  <si>
    <t>Daria Girls Tunic (5-6 Y)</t>
  </si>
  <si>
    <t>4M40112X4</t>
  </si>
  <si>
    <t>Dear Cardigan Kids / L-XL (8-10Y)</t>
  </si>
  <si>
    <t>4M40111X2</t>
  </si>
  <si>
    <t>Dear Cardigan Kids / S-M (4-6Y)</t>
  </si>
  <si>
    <t>4M122223XX0</t>
  </si>
  <si>
    <t>4M100124XX4</t>
  </si>
  <si>
    <t>Future Plain Blouse / L-XL</t>
  </si>
  <si>
    <t>4M100123XX2</t>
  </si>
  <si>
    <t>Future Plain Blouse / S-M</t>
  </si>
  <si>
    <t>4M30508XY2</t>
  </si>
  <si>
    <t>Hasu Boy Shirt (5-6y)</t>
  </si>
  <si>
    <t>4M30131Y0</t>
  </si>
  <si>
    <t>Himawari Boy Shirt (3-4Y)</t>
  </si>
  <si>
    <t>4M30132Y0</t>
  </si>
  <si>
    <t>Himawari Boy Shirt (5-6Y)</t>
  </si>
  <si>
    <t>4M30133Y0</t>
  </si>
  <si>
    <t>Himawari Boy Shirt (7-8Y)</t>
  </si>
  <si>
    <t>4M20514XX0</t>
  </si>
  <si>
    <t>4M120651XX0</t>
  </si>
  <si>
    <t>4M102300XX0</t>
  </si>
  <si>
    <t>4M12528XX0</t>
  </si>
  <si>
    <t>4M122224XX0</t>
  </si>
  <si>
    <t>4M50142XX0</t>
  </si>
  <si>
    <t>4M90665XX0</t>
  </si>
  <si>
    <t>4M32187XX0</t>
  </si>
  <si>
    <t>4M40118X4</t>
  </si>
  <si>
    <t>Passion Cardigan Kids / L-XL (8-10Y)</t>
  </si>
  <si>
    <t>4M40117X2</t>
  </si>
  <si>
    <t>Passion Cardigan Kids / S-M (4-6Y)</t>
  </si>
  <si>
    <t>4M11415XX0</t>
  </si>
  <si>
    <t>Reese Scarf - Pink</t>
  </si>
  <si>
    <t>4M12197XX0</t>
  </si>
  <si>
    <t>4M11539XX0</t>
  </si>
  <si>
    <t>4M32188XX0</t>
  </si>
  <si>
    <t>4M40100XX0</t>
  </si>
  <si>
    <t>Warrior's Heart Knitwear - Creme</t>
  </si>
  <si>
    <t>4M31779XY2</t>
  </si>
  <si>
    <t>Yasira Boy Shirt (5-6y)</t>
  </si>
  <si>
    <t>4M31779XY3</t>
  </si>
  <si>
    <t>Yasira Boy Shirt (7-8y)</t>
  </si>
  <si>
    <t>4M21902XX1</t>
  </si>
  <si>
    <t>Yasira Midi Girl (3-4y)</t>
  </si>
  <si>
    <t>4M21903XX3</t>
  </si>
  <si>
    <t>Yasira Midi Girl (7-8y)</t>
  </si>
  <si>
    <t>4M21906XX1</t>
  </si>
  <si>
    <t>Zayna Midi Girl (3-4y)</t>
  </si>
  <si>
    <t>6M50865XX0</t>
  </si>
  <si>
    <t>Hibiscus Brooch - White Pearls</t>
  </si>
  <si>
    <t>6M50421XX0</t>
  </si>
  <si>
    <t>6M50639XX0</t>
  </si>
  <si>
    <t>6M50861XX0</t>
  </si>
  <si>
    <t>6M50637XX0</t>
  </si>
  <si>
    <t>Zamrud Brooch (White, Gold &amp; Green)</t>
  </si>
  <si>
    <t>7M50488XX3</t>
  </si>
  <si>
    <t>Box Hampers (L)</t>
  </si>
  <si>
    <t>7M50487XX2</t>
  </si>
  <si>
    <t>Box Hampers (M)</t>
  </si>
  <si>
    <t>7M50486XX1</t>
  </si>
  <si>
    <t>Box Hampers (S)</t>
  </si>
  <si>
    <t>9M31433XX0</t>
  </si>
  <si>
    <t>Aileen Top - Blue</t>
  </si>
  <si>
    <t>9M31434XX0</t>
  </si>
  <si>
    <t>Aileen Top - Pink</t>
  </si>
  <si>
    <t>9M132736XX0</t>
  </si>
  <si>
    <t>9M132051XX0</t>
  </si>
  <si>
    <t>Moana Pants - Army</t>
  </si>
  <si>
    <t>Army</t>
  </si>
  <si>
    <t>9M132052XX0</t>
  </si>
  <si>
    <t>Moana Pants - Coffee</t>
  </si>
  <si>
    <t>Coffee</t>
  </si>
  <si>
    <t>9M132049XX0</t>
  </si>
  <si>
    <t>Moana Pants - Navy</t>
  </si>
  <si>
    <t>Navy</t>
  </si>
  <si>
    <t>10M31948XX4</t>
  </si>
  <si>
    <t>Ina Top - White (XL)</t>
  </si>
  <si>
    <t>10M31846XY2</t>
  </si>
  <si>
    <t>Koko Maya Set - Blue (M)</t>
  </si>
  <si>
    <t>10M31845XY1</t>
  </si>
  <si>
    <t>Koko Maya Set - Blue (S)</t>
  </si>
  <si>
    <t>10M31850XY2</t>
  </si>
  <si>
    <t>Koko Maya Set - Sage (M)</t>
  </si>
  <si>
    <t>10M31849XY1</t>
  </si>
  <si>
    <t>Koko Maya Set - Sage (S)</t>
  </si>
  <si>
    <t>10M32362XX3</t>
  </si>
  <si>
    <t>Milda Top - Lily (L)</t>
  </si>
  <si>
    <t>Lily</t>
  </si>
  <si>
    <t>10M32361XX2</t>
  </si>
  <si>
    <t>Milda Top - Lily (M)</t>
  </si>
  <si>
    <t>10M32363XX4</t>
  </si>
  <si>
    <t>Milda Top - Lily (S)</t>
  </si>
  <si>
    <t>10M32353XX3</t>
  </si>
  <si>
    <t>Milda Top - Mauve (L)</t>
  </si>
  <si>
    <t>10M32352XX2</t>
  </si>
  <si>
    <t>Milda Top - Mauve (M)</t>
  </si>
  <si>
    <t>10M32358XX2</t>
  </si>
  <si>
    <t>Milda Top - Shappire (M)</t>
  </si>
  <si>
    <t>Shappire</t>
  </si>
  <si>
    <t>10M32356XX3</t>
  </si>
  <si>
    <t>Milda Top - Sky Blue (L)</t>
  </si>
  <si>
    <t>Sky Blue</t>
  </si>
  <si>
    <t>10M32355XX2</t>
  </si>
  <si>
    <t>Milda Top - Sky Blue (M)</t>
  </si>
  <si>
    <t>10M10927XX0</t>
  </si>
  <si>
    <t>Mona Series - Petal</t>
  </si>
  <si>
    <t>10M10762XX0</t>
  </si>
  <si>
    <t>Paris Original Japan - Dark Purple</t>
  </si>
  <si>
    <t>10M152795XX0</t>
  </si>
  <si>
    <t>Queen Bag - Black</t>
  </si>
  <si>
    <t>10M11371XX0</t>
  </si>
  <si>
    <t>Rangea Series - Taupe</t>
  </si>
  <si>
    <t>10M21734XX3</t>
  </si>
  <si>
    <t>Raya Dress - Nude (L)</t>
  </si>
  <si>
    <t>10M21735XX4</t>
  </si>
  <si>
    <t>Raya Dress - Nude (XL)</t>
  </si>
  <si>
    <t>10M22766XX1</t>
  </si>
  <si>
    <t>Raya Sarimbit Dress - Anak Mocca (S)</t>
  </si>
  <si>
    <t>10M32777XY3</t>
  </si>
  <si>
    <t>Raya Sarimbit Koko Anak - Ivory (L)</t>
  </si>
  <si>
    <t>10M32776XY2</t>
  </si>
  <si>
    <t>Raya Sarimbit Koko Anak - Ivory (M)</t>
  </si>
  <si>
    <t>10M32775XY4</t>
  </si>
  <si>
    <t>Raya Sarimbit Koko Anak - Ivory (XL)</t>
  </si>
  <si>
    <t>10M32781XY3</t>
  </si>
  <si>
    <t>Raya Sarimbit Koko Anak - Mocca (L)</t>
  </si>
  <si>
    <t>10M32782XY4</t>
  </si>
  <si>
    <t>Raya Sarimbit Koko Anak - Mocca (XL)</t>
  </si>
  <si>
    <t>11M51000XX0</t>
  </si>
  <si>
    <t>11M50981XX0</t>
  </si>
  <si>
    <t>Kaos Kaki Europ - Dark Grey</t>
  </si>
  <si>
    <t>Dark Grey</t>
  </si>
  <si>
    <t>11M50983XX0</t>
  </si>
  <si>
    <t>Kaos Kaki Europ - White</t>
  </si>
  <si>
    <t>11M51312XX0</t>
  </si>
  <si>
    <t>Marocan Ciput (Light Brown)</t>
  </si>
  <si>
    <t>11M51295XX0</t>
  </si>
  <si>
    <t>Sila Ciput Ninja Premium (Light Brown)</t>
  </si>
  <si>
    <t>11M51302XX0</t>
  </si>
  <si>
    <t>Sila Ciput Ninja Premium (Off White)</t>
  </si>
  <si>
    <t>Off White</t>
  </si>
  <si>
    <t>11M12493XX0</t>
  </si>
  <si>
    <t>Yola Voal Premium - Pink Camelia</t>
  </si>
  <si>
    <t>12M51987XX0</t>
  </si>
  <si>
    <t>12M51988XX0</t>
  </si>
  <si>
    <t>12M51989XX0</t>
  </si>
  <si>
    <t>12M51517XX0</t>
  </si>
  <si>
    <t>12M132861XX0</t>
  </si>
  <si>
    <t>Barrel Pants - Jet Black</t>
  </si>
  <si>
    <t>Jet Black</t>
  </si>
  <si>
    <t>12M132860XX0</t>
  </si>
  <si>
    <t>Barrel Pants - Oat</t>
  </si>
  <si>
    <t>Oat</t>
  </si>
  <si>
    <t>12M132870XX2</t>
  </si>
  <si>
    <t>Barrel Pants - Oat (Reg Size)</t>
  </si>
  <si>
    <t>Reg Size</t>
  </si>
  <si>
    <t>12M132862XX0</t>
  </si>
  <si>
    <t>Barrel Pants - White</t>
  </si>
  <si>
    <t>12M132875XX4</t>
  </si>
  <si>
    <t>Barrel Pants - White (Bigi Size)</t>
  </si>
  <si>
    <t>Bigi Size</t>
  </si>
  <si>
    <t>12M52007XX0</t>
  </si>
  <si>
    <t>12M52005XX0</t>
  </si>
  <si>
    <t>12M51996XX0</t>
  </si>
  <si>
    <t>Etzu Statement Brooch (Sky)</t>
  </si>
  <si>
    <t>12M52002XX0</t>
  </si>
  <si>
    <t>12M51990XX0</t>
  </si>
  <si>
    <t>12M32892XX0</t>
  </si>
  <si>
    <t>Kaya Top - Cream Sage</t>
  </si>
  <si>
    <t>12M52001XX0</t>
  </si>
  <si>
    <t>Kiara Necklace Beads (Black)</t>
  </si>
  <si>
    <t>12M52000XX0</t>
  </si>
  <si>
    <t>Kiara Necklace Beads (Blossom)</t>
  </si>
  <si>
    <t>Blossom</t>
  </si>
  <si>
    <t>12M12729XX0</t>
  </si>
  <si>
    <t>Kirana Paris - Brown Muffin</t>
  </si>
  <si>
    <t>Brown Muffin</t>
  </si>
  <si>
    <t>12M12674XX0</t>
  </si>
  <si>
    <t>Kirana Paris - Burgundy</t>
  </si>
  <si>
    <t>Burgundy</t>
  </si>
  <si>
    <t>12M32841XX2</t>
  </si>
  <si>
    <t>Livia High Neck Top - Black (SM)</t>
  </si>
  <si>
    <t>12M32844XX4</t>
  </si>
  <si>
    <t>Livia High Neck Top - Dark Brown (LXL)</t>
  </si>
  <si>
    <t>Dark Brown</t>
  </si>
  <si>
    <t>LXL</t>
  </si>
  <si>
    <t>12M32843XX2</t>
  </si>
  <si>
    <t>Livia High Neck Top - Dark Brown (SM)</t>
  </si>
  <si>
    <t>12M51522XX0</t>
  </si>
  <si>
    <t>12M51507XX0</t>
  </si>
  <si>
    <t>12M52004XX0</t>
  </si>
  <si>
    <t>12M12801XX0</t>
  </si>
  <si>
    <t>Pashmina Nour - Brown Muffin</t>
  </si>
  <si>
    <t>12M12804XX0</t>
  </si>
  <si>
    <t>Pashmina Nour - Muffin</t>
  </si>
  <si>
    <t>Muffin</t>
  </si>
  <si>
    <t>12M12797XX0</t>
  </si>
  <si>
    <t>Pashmina Nour - Tea Rose</t>
  </si>
  <si>
    <t>Tea Rose</t>
  </si>
  <si>
    <t>12M32899XX0</t>
  </si>
  <si>
    <t>Polka Shirt - Black</t>
  </si>
  <si>
    <t>12M32898XX0</t>
  </si>
  <si>
    <t>Polka Shirt - Broken White</t>
  </si>
  <si>
    <t>Broken White</t>
  </si>
  <si>
    <t>12M151208XX0</t>
  </si>
  <si>
    <t>Post Bag - Silver</t>
  </si>
  <si>
    <t>12M51998XX0</t>
  </si>
  <si>
    <t>Sarayu Statement Brooch (Emerald)</t>
  </si>
  <si>
    <t>12M52003XX0</t>
  </si>
  <si>
    <t>12M52006XX0</t>
  </si>
  <si>
    <t>12M51499XX0</t>
  </si>
  <si>
    <t>12M51504XX0</t>
  </si>
  <si>
    <t>Tajana Brooch - Black</t>
  </si>
  <si>
    <t>12M51501XX0</t>
  </si>
  <si>
    <t>Tajana Brooch - Maroon</t>
  </si>
  <si>
    <t>12M72902XX0</t>
  </si>
  <si>
    <t>Yasmeen Mukena Traveling - Blush</t>
  </si>
  <si>
    <t>12M51993XX0</t>
  </si>
  <si>
    <t>Yeona Statement Brooch (Black Amethyst)</t>
  </si>
  <si>
    <t>Black Amethyst</t>
  </si>
  <si>
    <t>12M51994XX0</t>
  </si>
  <si>
    <t>Yeona Statement Brooch (Creamy)</t>
  </si>
  <si>
    <t>Creamy</t>
  </si>
  <si>
    <t>12M51992XX0</t>
  </si>
  <si>
    <t>Yeona Statement Brooch (Full Black)</t>
  </si>
  <si>
    <t>Full Black</t>
  </si>
  <si>
    <t>14M142114XX0</t>
  </si>
  <si>
    <t>Jihan Outer - Mauve</t>
  </si>
  <si>
    <t>14M32112XX0</t>
  </si>
  <si>
    <t>Lesty Kaftan - Mocca</t>
  </si>
  <si>
    <t>15M21700XX3</t>
  </si>
  <si>
    <t>Alesha Dress - Peach Blue (L)</t>
  </si>
  <si>
    <t>Peach Blue</t>
  </si>
  <si>
    <t>15M21702XX5</t>
  </si>
  <si>
    <t>Alesha Dress - Peach Blue (XXL)</t>
  </si>
  <si>
    <t>15M21695XX3</t>
  </si>
  <si>
    <t>Alesha Dress - Pink Grey (L)</t>
  </si>
  <si>
    <t>Pink Grey</t>
  </si>
  <si>
    <t>15M21696XX4</t>
  </si>
  <si>
    <t>Alesha Dress - Pink Grey (XL)</t>
  </si>
  <si>
    <t>15M21568XX3</t>
  </si>
  <si>
    <t>Fayla Dress - Pink (L)</t>
  </si>
  <si>
    <t>15M21567XX2</t>
  </si>
  <si>
    <t>Fayla Dress - Pink (M)</t>
  </si>
  <si>
    <t>15M21566XX1</t>
  </si>
  <si>
    <t>Fayla Dress - Pink (S)</t>
  </si>
  <si>
    <t>15M21616XX1</t>
  </si>
  <si>
    <t>Fayla Dress - Purple (L)</t>
  </si>
  <si>
    <t>Purple</t>
  </si>
  <si>
    <t>15M21615XX1</t>
  </si>
  <si>
    <t>Fayla Dress - Purple (M)</t>
  </si>
  <si>
    <t>15M22629XX1</t>
  </si>
  <si>
    <t>Ishwari Dress Anak - Brown (4y)</t>
  </si>
  <si>
    <t>15M32638XY3</t>
  </si>
  <si>
    <t>Ishwari Koko Anak - Black (L)</t>
  </si>
  <si>
    <t>15M32639XY4</t>
  </si>
  <si>
    <t>Ishwari Koko Anak - Black (XL)</t>
  </si>
  <si>
    <t>15M32641XY3</t>
  </si>
  <si>
    <t>Ishwari Koko Anak - Brown (L)</t>
  </si>
  <si>
    <t>15M32645XY4</t>
  </si>
  <si>
    <t>Ishwari Koko Anak - Off White (XL)</t>
  </si>
  <si>
    <t>15M22092XX4</t>
  </si>
  <si>
    <t>Kayla Dress - Maroon (XL)</t>
  </si>
  <si>
    <t>15M22073XX2</t>
  </si>
  <si>
    <t>Rafea Dress - Blue Grey (L)</t>
  </si>
  <si>
    <t>Blue Grey</t>
  </si>
  <si>
    <t>15M22074XX2</t>
  </si>
  <si>
    <t>Rafea Dress - Blue Grey (XL)</t>
  </si>
  <si>
    <t>15M22076XX2</t>
  </si>
  <si>
    <t>Rafea Dress - BW Pink (L)</t>
  </si>
  <si>
    <t>BW Pink</t>
  </si>
  <si>
    <t>15M22075XX2</t>
  </si>
  <si>
    <t>Rafea Dress - BW Pink (M)</t>
  </si>
  <si>
    <t>15M22077XX2</t>
  </si>
  <si>
    <t>Rafea Dress - BW Pink (XL)</t>
  </si>
  <si>
    <t>15M22079XX2</t>
  </si>
  <si>
    <t>Rafea Dress - Purple (L)</t>
  </si>
  <si>
    <t>15M22078XX2</t>
  </si>
  <si>
    <t>Rafea Dress - Purple (M)</t>
  </si>
  <si>
    <t>15M22080XX2</t>
  </si>
  <si>
    <t>Rafea Dress - Purple (XL)</t>
  </si>
  <si>
    <t>15M22667XX1</t>
  </si>
  <si>
    <t>Ranjana Dress Anak - Woodsmoke (6y)</t>
  </si>
  <si>
    <t>6y</t>
  </si>
  <si>
    <t>15M22668XX2</t>
  </si>
  <si>
    <t>Ranjana Dress Anak - Woodsmoke (8y)</t>
  </si>
  <si>
    <t>8y</t>
  </si>
  <si>
    <t>15M32653XY3</t>
  </si>
  <si>
    <t>Ranjana Koko Anak - Woodsmoke (L)</t>
  </si>
  <si>
    <t>15M31875XY3</t>
  </si>
  <si>
    <t>Syauqi Koko Anak - Black (L)</t>
  </si>
  <si>
    <t>15M31874XY2</t>
  </si>
  <si>
    <t>Syauqi Koko Anak - Black (M)</t>
  </si>
  <si>
    <t>15M31873XY1</t>
  </si>
  <si>
    <t>Syauqi Koko Anak - Black (S)</t>
  </si>
  <si>
    <t>15M31876XY4</t>
  </si>
  <si>
    <t>Syauqi Koko Anak - Black (XL)</t>
  </si>
  <si>
    <t>15M31883XY3</t>
  </si>
  <si>
    <t>Syauqi Koko Anak - Grey (L)</t>
  </si>
  <si>
    <t>Grey</t>
  </si>
  <si>
    <t>15M31882XY2</t>
  </si>
  <si>
    <t>Syauqi Koko Anak - Grey (M)</t>
  </si>
  <si>
    <t>15M31881XY1</t>
  </si>
  <si>
    <t>Syauqi Koko Anak - Grey (S)</t>
  </si>
  <si>
    <t>15M31884XY4</t>
  </si>
  <si>
    <t>Syauqi Koko Anak - Grey (XL)</t>
  </si>
  <si>
    <t>15M31886XY2</t>
  </si>
  <si>
    <t>Syauqi Koko Anak - Mocca (M)</t>
  </si>
  <si>
    <t>15M31885XY1</t>
  </si>
  <si>
    <t>Syauqi Koko Anak - Mocca (S)</t>
  </si>
  <si>
    <t>15M31888XY4</t>
  </si>
  <si>
    <t>Syauqi Koko Anak - Mocca (XL)</t>
  </si>
  <si>
    <t>15M31891XY3</t>
  </si>
  <si>
    <t>Syauqi Koko Anak - Purple (L)</t>
  </si>
  <si>
    <t>15M31890XY2</t>
  </si>
  <si>
    <t>Syauqi Koko Anak - Purple (M)</t>
  </si>
  <si>
    <t>15M31889XY1</t>
  </si>
  <si>
    <t>Syauqi Koko Anak - Purple (S)</t>
  </si>
  <si>
    <t>17M12471XX0</t>
  </si>
  <si>
    <t>Lou Instant Hijab (Sleek) - Ash Violet</t>
  </si>
  <si>
    <t>Ash Violet</t>
  </si>
  <si>
    <t>17M12472XX0</t>
  </si>
  <si>
    <t>Lou Instant Hijab (Sleek) - Choco Latte</t>
  </si>
  <si>
    <t>Choco Latte</t>
  </si>
  <si>
    <t>17M12467XX0</t>
  </si>
  <si>
    <t>Lou Instant Hijab (Wave) - Ivory</t>
  </si>
  <si>
    <t>17M11975XX0</t>
  </si>
  <si>
    <t>Paris Japan - Salmon</t>
  </si>
  <si>
    <t>18M22144XX0</t>
  </si>
  <si>
    <t>Amabel Dress - Black</t>
  </si>
  <si>
    <t>18M22145XX0</t>
  </si>
  <si>
    <t>Amabel Dress - Maroon</t>
  </si>
  <si>
    <t>18M22142XX0</t>
  </si>
  <si>
    <t>Amabel Dress - Milo</t>
  </si>
  <si>
    <t>Milo</t>
  </si>
  <si>
    <t>18M22143XX0</t>
  </si>
  <si>
    <t>Amabel Dress - Nill Green</t>
  </si>
  <si>
    <t>Nill Green</t>
  </si>
  <si>
    <t>21M122560XX1</t>
  </si>
  <si>
    <t>3x Klamby - Andaya Tunic (S)</t>
  </si>
  <si>
    <t>21M132449XX2</t>
  </si>
  <si>
    <t>BS x Laica - Athleisure Legging (M)</t>
  </si>
  <si>
    <t>21M22787XX2</t>
  </si>
  <si>
    <t>Famouscarf 2 Dress (M)</t>
  </si>
  <si>
    <t>21M132437XX2</t>
  </si>
  <si>
    <t>Kienka - Millow Pants - White (M)</t>
  </si>
  <si>
    <t>21M32735XY2</t>
  </si>
  <si>
    <t>Niaz Koko Kids (5-6)</t>
  </si>
  <si>
    <t>21M192903XY0</t>
  </si>
  <si>
    <t>Nike Air Max (White - US 1Y)</t>
  </si>
  <si>
    <t>21M192904XY0</t>
  </si>
  <si>
    <t>Nike Omni Multi Court Little Kids (Black)</t>
  </si>
  <si>
    <t>21M192906XX0</t>
  </si>
  <si>
    <t>Nike Women Air Max 280 React (Cinnamon Gold)</t>
  </si>
  <si>
    <t>21M32548XY1</t>
  </si>
  <si>
    <t>RM - Rasuna Koko Kids (S)</t>
  </si>
  <si>
    <t>21M32895XX0</t>
  </si>
  <si>
    <t>21M92894XX0</t>
  </si>
  <si>
    <t>21M92897XX0</t>
  </si>
  <si>
    <t>21M132896XX0</t>
  </si>
  <si>
    <t>21M192897XX0</t>
  </si>
  <si>
    <t>Shoes PO China - Silver 39</t>
  </si>
  <si>
    <t>21M152556XX0</t>
  </si>
  <si>
    <t>22M22587XX2</t>
  </si>
  <si>
    <t>Alur Dress Kids - Broken White (M)</t>
  </si>
  <si>
    <t>22M22586XX1</t>
  </si>
  <si>
    <t>Alur Dress Kids - Broken White (S)</t>
  </si>
  <si>
    <t>22M22582XX2</t>
  </si>
  <si>
    <t>Alur Dress Kids - Powder Blue (M)</t>
  </si>
  <si>
    <t>Powder Blue</t>
  </si>
  <si>
    <t>22M22581XX1</t>
  </si>
  <si>
    <t>Alur Dress Kids - Powder Blue (S)</t>
  </si>
  <si>
    <t>22M32574XY3</t>
  </si>
  <si>
    <t>Alur Koko - Broken White (L)</t>
  </si>
  <si>
    <t>22M32572XY1</t>
  </si>
  <si>
    <t>Alur Koko - Broken White (S)</t>
  </si>
  <si>
    <t>22M32570XY3</t>
  </si>
  <si>
    <t>Alur Koko - Powder Blue (L)</t>
  </si>
  <si>
    <t>22M32599XY5</t>
  </si>
  <si>
    <t>Alur Koko Kids - Broken White (XXL)</t>
  </si>
  <si>
    <t>22M32594XY5</t>
  </si>
  <si>
    <t>Alur Koko Kids - Powder Blue (XXL)</t>
  </si>
  <si>
    <t>22M12826XX0</t>
  </si>
  <si>
    <t>Backyard Series - Denim</t>
  </si>
  <si>
    <t>22M112887XX0</t>
  </si>
  <si>
    <t>Della Set - Black</t>
  </si>
  <si>
    <t>22M112889XX0</t>
  </si>
  <si>
    <t>Della Set - Mahogany</t>
  </si>
  <si>
    <t>Mahogany</t>
  </si>
  <si>
    <t>22M112859XX0</t>
  </si>
  <si>
    <t>Sabiya Set - Sage</t>
  </si>
  <si>
    <t>22M12852XX0</t>
  </si>
  <si>
    <t>Serenity Series - Blush</t>
  </si>
  <si>
    <t>22M12855XX0</t>
  </si>
  <si>
    <t>Serenity Series - Yellow</t>
  </si>
  <si>
    <t>Yellow</t>
  </si>
  <si>
    <t>NAMA_BRAND</t>
  </si>
  <si>
    <t>JUMLAH_PRODUK</t>
  </si>
  <si>
    <t>JUMLAH_SKU</t>
  </si>
  <si>
    <t>STATUS_DATA</t>
  </si>
  <si>
    <t>LOGO_BRAND</t>
  </si>
  <si>
    <t>INSTAGRAM_BRAND</t>
  </si>
  <si>
    <t>LbyLCB</t>
  </si>
  <si>
    <t>Belum ada SKU</t>
  </si>
  <si>
    <t>Nonaktif</t>
  </si>
  <si>
    <t>PINKYSHOP</t>
  </si>
  <si>
    <t>BRAND II</t>
  </si>
  <si>
    <t>CORDY</t>
  </si>
  <si>
    <t>KIENKA STUDIO</t>
  </si>
  <si>
    <t>KHEVA MAUZA</t>
  </si>
  <si>
    <t>Ya</t>
  </si>
  <si>
    <t>7.7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</si>
</sst>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p&quot;\ #,##0"/>
    <numFmt numFmtId="166" formatCode="0&quot;%&quot;"/>
    <numFmt numFmtId="174" formatCode="[$-421]dd\ mmmm\ yyyy;@"/>
  </numFmts>
  <fonts count="4">
    <font>
      <sz val="11"/>
      <name val="Carlito"/>
    </font>
    <font>
      <b/>
      <sz val="10"/>
      <color rgb="FFFFFFFF"/>
      <name val="Carlito"/>
    </font>
    <font>
      <b/>
      <sz val="11"/>
      <color rgb="FF07552E"/>
      <name val="Carlito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B6F3C"/>
      </patternFill>
    </fill>
    <fill>
      <patternFill patternType="solid">
        <fgColor rgb="FFFFF7BF"/>
      </patternFill>
    </fill>
    <fill>
      <patternFill patternType="solid">
        <fgColor rgb="FFE8F4EC"/>
      </patternFill>
    </fill>
    <fill>
      <patternFill patternType="solid">
        <fgColor rgb="FF0B6F3C"/>
      </patternFill>
    </fill>
    <fill>
      <patternFill patternType="solid">
        <fgColor rgb="FFE8F4EC"/>
      </patternFill>
    </fill>
    <fill>
      <patternFill patternType="solid">
        <fgColor rgb="FFFFF7BF"/>
      </patternFill>
    </fill>
  </fills>
  <borders count="12">
    <border>
      <left/>
      <right/>
      <top/>
      <bottom/>
      <diagonal/>
    </border>
    <border>
      <left style="thin">
        <color rgb="FF07552E"/>
      </left>
      <right/>
      <top style="thin">
        <color rgb="FF07552E"/>
      </top>
      <bottom style="thin">
        <color rgb="FF07552E"/>
      </bottom>
      <diagonal/>
    </border>
    <border>
      <left/>
      <right/>
      <top style="thin">
        <color rgb="FF07552E"/>
      </top>
      <bottom style="thin">
        <color rgb="FF07552E"/>
      </bottom>
      <diagonal/>
    </border>
    <border>
      <left/>
      <right style="thin">
        <color rgb="FF07552E"/>
      </right>
      <top style="thin">
        <color rgb="FF07552E"/>
      </top>
      <bottom style="thin">
        <color rgb="FF07552E"/>
      </bottom>
      <diagonal/>
    </border>
    <border>
      <left style="hair">
        <color rgb="FFD8DED9"/>
      </left>
      <right/>
      <top style="hair">
        <color rgb="FFD8DED9"/>
      </top>
      <bottom/>
      <diagonal/>
    </border>
    <border>
      <left/>
      <right/>
      <top style="hair">
        <color rgb="FFD8DED9"/>
      </top>
      <bottom/>
      <diagonal/>
    </border>
    <border>
      <left/>
      <right style="hair">
        <color rgb="FFD8DED9"/>
      </right>
      <top style="hair">
        <color rgb="FFD8DED9"/>
      </top>
      <bottom/>
      <diagonal/>
    </border>
    <border>
      <left style="hair">
        <color rgb="FFD8DED9"/>
      </left>
      <right/>
      <top/>
      <bottom/>
      <diagonal/>
    </border>
    <border>
      <left/>
      <right style="hair">
        <color rgb="FFD8DED9"/>
      </right>
      <top/>
      <bottom/>
      <diagonal/>
    </border>
    <border>
      <left style="hair">
        <color rgb="FFD8DED9"/>
      </left>
      <right/>
      <top/>
      <bottom style="hair">
        <color rgb="FFD8DED9"/>
      </bottom>
      <diagonal/>
    </border>
    <border>
      <left/>
      <right/>
      <top/>
      <bottom style="hair">
        <color rgb="FFD8DED9"/>
      </bottom>
      <diagonal/>
    </border>
    <border>
      <left/>
      <right style="hair">
        <color rgb="FFD8DED9"/>
      </right>
      <top/>
      <bottom style="hair">
        <color rgb="FFD8DE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164" fontId="0" fillId="0" borderId="5" xfId="0" applyNumberFormat="1" applyBorder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10" xfId="0" applyNumberFormat="1" applyBorder="1" applyAlignment="1">
      <alignment vertical="center" wrapText="1"/>
    </xf>
    <xf numFmtId="1" fontId="0" fillId="0" borderId="5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10" xfId="0" applyNumberForma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0" xfId="0" applyFill="1" applyBorder="1" applyAlignment="1">
      <alignment vertical="center" wrapText="1"/>
    </xf>
    <xf numFmtId="0" fontId="0" fillId="4" borderId="5" xfId="0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10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7" xfId="0" applyFill="1" applyBorder="1"/>
    <xf numFmtId="0" fontId="0" fillId="6" borderId="9" xfId="0" applyFill="1" applyBorder="1"/>
    <xf numFmtId="166" fontId="0" fillId="7" borderId="5" xfId="0" applyNumberFormat="1" applyFill="1" applyBorder="1"/>
    <xf numFmtId="166" fontId="0" fillId="7" borderId="0" xfId="0" applyNumberFormat="1" applyFill="1"/>
    <xf numFmtId="166" fontId="0" fillId="7" borderId="10" xfId="0" applyNumberFormat="1" applyFill="1" applyBorder="1"/>
    <xf numFmtId="174" fontId="0" fillId="0" borderId="5" xfId="0" applyNumberFormat="1" applyBorder="1"/>
    <xf numFmtId="174" fontId="0" fillId="0" borderId="0" xfId="0" applyNumberFormat="1"/>
    <xf numFmtId="174" fontId="0" fillId="0" borderId="10" xfId="0" applyNumberFormat="1" applyBorder="1"/>
  </cellXfs>
  <cellStyles count="1">
    <cellStyle name="Normal" xfId="0" builtinId="0"/>
  </cellStyles>
  <dxfs count="4">
    <dxf>
      <font>
        <b/>
        <color rgb="FF176B3A"/>
      </font>
      <fill>
        <patternFill>
          <bgColor rgb="FFDFF3E5"/>
        </patternFill>
      </fill>
    </dxf>
    <dxf>
      <font>
        <b/>
        <color rgb="FF8A6100"/>
      </font>
      <fill>
        <patternFill>
          <bgColor rgb="FFFFF3CD"/>
        </patternFill>
      </fill>
    </dxf>
    <dxf>
      <font>
        <b/>
        <color rgb="FFB42318"/>
      </font>
      <fill>
        <patternFill>
          <bgColor rgb="FFFDE2E2"/>
        </patternFill>
      </fill>
    </dxf>
    <dxf>
      <fill>
        <patternFill>
          <bgColor rgb="FFFFF7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kMasterTable" displayName="ProdukMasterTable" ref="A1:X167">
  <autoFilter ref="A1:X167" xr:uid="{00000000-000C-0000-FFFF-FFFF00000000}"/>
  <tableColumns count="24">
    <tableColumn id="1" xr3:uid="{00000000-0010-0000-0000-000001000000}" name="ID_PRODUK"/>
    <tableColumn id="2" xr3:uid="{00000000-0010-0000-0000-000002000000}" name="SLUG_PRODUK"/>
    <tableColumn id="3" xr3:uid="{00000000-0010-0000-0000-000003000000}" name="KODE_BRAND"/>
    <tableColumn id="4" xr3:uid="{00000000-0010-0000-0000-000004000000}" name="BRAND"/>
    <tableColumn id="5" xr3:uid="{00000000-0010-0000-0000-000005000000}" name="NAMA_PRODUK"/>
    <tableColumn id="6" xr3:uid="{00000000-0010-0000-0000-000006000000}" name="KATEGORI"/>
    <tableColumn id="7" xr3:uid="{00000000-0010-0000-0000-000007000000}" name="SEGMEN"/>
    <tableColumn id="8" xr3:uid="{00000000-0010-0000-0000-000008000000}" name="KONDISI"/>
    <tableColumn id="9" xr3:uid="{00000000-0010-0000-0000-000009000000}" name="HARGA_MIN"/>
    <tableColumn id="10" xr3:uid="{00000000-0010-0000-0000-00000A000000}" name="HARGA_MAX"/>
    <tableColumn id="11" xr3:uid="{00000000-0010-0000-0000-00000B000000}" name="TOTAL_STOK"/>
    <tableColumn id="12" xr3:uid="{00000000-0010-0000-0000-00000C000000}" name="JUMLAH_VARIAN"/>
    <tableColumn id="13" xr3:uid="{00000000-0010-0000-0000-00000D000000}" name="WARNA_TERSEDIA"/>
    <tableColumn id="14" xr3:uid="{00000000-0010-0000-0000-00000E000000}" name="UKURAN_TERSEDIA"/>
    <tableColumn id="15" xr3:uid="{00000000-0010-0000-0000-00000F000000}" name="BAHAN"/>
    <tableColumn id="16" xr3:uid="{00000000-0010-0000-0000-000010000000}" name="DESKRIPSI"/>
    <tableColumn id="17" xr3:uid="{00000000-0010-0000-0000-000011000000}" name="FOTO_UTAMA"/>
    <tableColumn id="18" xr3:uid="{00000000-0010-0000-0000-000012000000}" name="FOTO_2"/>
    <tableColumn id="19" xr3:uid="{00000000-0010-0000-0000-000013000000}" name="FOTO_3"/>
    <tableColumn id="20" xr3:uid="{00000000-0010-0000-0000-000014000000}" name="URL_VIDEO"/>
    <tableColumn id="21" xr3:uid="{00000000-0010-0000-0000-000015000000}" name="PRODUK_BARU"/>
    <tableColumn id="22" xr3:uid="{00000000-0010-0000-0000-000016000000}" name="PRODUK_PILIHAN"/>
    <tableColumn id="23" xr3:uid="{00000000-0010-0000-0000-000017000000}" name="STATUS_TAYANG"/>
    <tableColumn id="24" xr3:uid="{00000000-0010-0000-0000-000018000000}" name="CATAT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arianStokTable" displayName="VarianStokTable" ref="A1:M333">
  <tableColumns count="13">
    <tableColumn id="1" xr3:uid="{00000000-0010-0000-0100-000001000000}" name="SKU"/>
    <tableColumn id="2" xr3:uid="{00000000-0010-0000-0100-000002000000}" name="KODE_BRAND"/>
    <tableColumn id="3" xr3:uid="{00000000-0010-0000-0100-000003000000}" name="BRAND"/>
    <tableColumn id="4" xr3:uid="{00000000-0010-0000-0100-000004000000}" name="ID_PRODUK"/>
    <tableColumn id="5" xr3:uid="{00000000-0010-0000-0100-000005000000}" name="NAMA_BARANG_ASLI"/>
    <tableColumn id="6" xr3:uid="{00000000-0010-0000-0100-000006000000}" name="WARNA_MOTIF"/>
    <tableColumn id="7" xr3:uid="{00000000-0010-0000-0100-000007000000}" name="UKURAN"/>
    <tableColumn id="8" xr3:uid="{00000000-0010-0000-0100-000008000000}" name="HARGA"/>
    <tableColumn id="9" xr3:uid="{00000000-0010-0000-0100-000009000000}" name="STOK"/>
    <tableColumn id="10" xr3:uid="{00000000-0010-0000-0100-00000A000000}" name="STATUS_STOK"/>
    <tableColumn id="11" xr3:uid="{00000000-0010-0000-0100-00000B000000}" name="KATEGORI"/>
    <tableColumn id="12" xr3:uid="{00000000-0010-0000-0100-00000C000000}" name="STATUS_TAYANG"/>
    <tableColumn id="13" xr3:uid="{00000000-0010-0000-0100-00000D000000}" name="CATAT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randMasterTable" displayName="BrandMasterTable" ref="A1:K23">
  <tableColumns count="11">
    <tableColumn id="1" xr3:uid="{00000000-0010-0000-0200-000001000000}" name="KODE_BRAND"/>
    <tableColumn id="2" xr3:uid="{00000000-0010-0000-0200-000002000000}" name="NAMA_BRAND"/>
    <tableColumn id="3" xr3:uid="{00000000-0010-0000-0200-000003000000}" name="JUMLAH_PRODUK"/>
    <tableColumn id="4" xr3:uid="{00000000-0010-0000-0200-000004000000}" name="JUMLAH_SKU"/>
    <tableColumn id="5" xr3:uid="{00000000-0010-0000-0200-000005000000}" name="TOTAL_STOK"/>
    <tableColumn id="6" xr3:uid="{00000000-0010-0000-0200-000006000000}" name="STATUS_DATA"/>
    <tableColumn id="7" xr3:uid="{00000000-0010-0000-0200-000007000000}" name="LOGO_BRAND"/>
    <tableColumn id="8" xr3:uid="{00000000-0010-0000-0200-000008000000}" name="INSTAGRAM_BRAND"/>
    <tableColumn id="9" xr3:uid="{00000000-0010-0000-0200-000009000000}" name="DESKRIPSI"/>
    <tableColumn id="10" xr3:uid="{00000000-0010-0000-0200-00000A000000}" name="STATUS_TAYANG"/>
    <tableColumn id="11" xr3:uid="{00000000-0010-0000-0200-00000B000000}" name="CATAT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67"/>
  <sheetViews>
    <sheetView tabSelected="1" topLeftCell="T1" workbookViewId="0">
      <selection activeCell="AD10" sqref="AD10"/>
    </sheetView>
  </sheetViews>
  <sheetFormatPr defaultRowHeight="14"/>
  <cols>
    <col min="1" max="1" width="13" customWidth="1"/>
    <col min="2" max="2" width="34" customWidth="1"/>
    <col min="3" max="3" width="12" customWidth="1"/>
    <col min="4" max="4" width="22" customWidth="1"/>
    <col min="5" max="5" width="32" customWidth="1"/>
    <col min="6" max="6" width="14" customWidth="1"/>
    <col min="7" max="7" width="11" customWidth="1"/>
    <col min="8" max="8" width="12" customWidth="1"/>
    <col min="9" max="10" width="15" customWidth="1"/>
    <col min="11" max="12" width="13" customWidth="1"/>
    <col min="13" max="14" width="32" customWidth="1"/>
    <col min="15" max="15" width="20" customWidth="1"/>
    <col min="16" max="16" width="40" customWidth="1"/>
    <col min="17" max="20" width="30" customWidth="1"/>
    <col min="21" max="23" width="16" customWidth="1"/>
    <col min="24" max="24" width="30" customWidth="1"/>
    <col min="25" max="28" width="16" customWidth="1"/>
    <col min="29" max="29" width="22" customWidth="1"/>
  </cols>
  <sheetData>
    <row r="1" spans="1:29" ht="25.4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  <c r="Y1" s="34" t="s">
        <v>24</v>
      </c>
      <c r="Z1" s="35" t="s">
        <v>25</v>
      </c>
      <c r="AA1" s="35" t="s">
        <v>26</v>
      </c>
      <c r="AB1" s="35" t="s">
        <v>27</v>
      </c>
      <c r="AC1" s="36" t="s">
        <v>28</v>
      </c>
    </row>
    <row r="2" spans="1:29" ht="28">
      <c r="A2" s="19" t="s">
        <v>29</v>
      </c>
      <c r="B2" s="7" t="s">
        <v>30</v>
      </c>
      <c r="C2" s="22">
        <v>1</v>
      </c>
      <c r="D2" s="25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13" t="e">
        <f ca="1">_xludf.MINIFS(VARIAN_STOK!$H$2:$H$333,VARIAN_STOK!$D$2:$D$333,$A2)</f>
        <v>#NAME?</v>
      </c>
      <c r="J2" s="13" t="e">
        <f ca="1">_xludf.MAXIFS(VARIAN_STOK!$H$2:$H$333,VARIAN_STOK!$D$2:$D$333,$A2)</f>
        <v>#NAME?</v>
      </c>
      <c r="K2" s="16">
        <f>SUMIF(VARIAN_STOK!$D$2:$D$333,$A2,VARIAN_STOK!$I$2:$I$333)</f>
        <v>25</v>
      </c>
      <c r="L2" s="16">
        <f>COUNTIF(VARIAN_STOK!$D$2:$D$333,$A2)</f>
        <v>11</v>
      </c>
      <c r="M2" s="7" t="s">
        <v>36</v>
      </c>
      <c r="N2" s="7" t="s">
        <v>37</v>
      </c>
      <c r="O2" s="7"/>
      <c r="P2" s="7"/>
      <c r="Q2" s="7" t="s">
        <v>38</v>
      </c>
      <c r="R2" s="7"/>
      <c r="S2" s="7"/>
      <c r="T2" s="7"/>
      <c r="U2" s="7" t="s">
        <v>39</v>
      </c>
      <c r="V2" s="7" t="s">
        <v>39</v>
      </c>
      <c r="W2" s="7" t="s">
        <v>40</v>
      </c>
      <c r="X2" s="8"/>
      <c r="Y2" s="37" t="s">
        <v>1386</v>
      </c>
      <c r="Z2" s="40">
        <v>60</v>
      </c>
      <c r="AA2" s="43">
        <v>46204</v>
      </c>
      <c r="AB2" s="43">
        <v>46234</v>
      </c>
      <c r="AC2" s="4" t="s">
        <v>1387</v>
      </c>
    </row>
    <row r="3" spans="1:29" ht="28">
      <c r="A3" s="20" t="s">
        <v>41</v>
      </c>
      <c r="B3" s="9" t="s">
        <v>42</v>
      </c>
      <c r="C3" s="23">
        <v>1</v>
      </c>
      <c r="D3" s="26" t="s">
        <v>31</v>
      </c>
      <c r="E3" s="9" t="s">
        <v>43</v>
      </c>
      <c r="F3" s="9" t="s">
        <v>33</v>
      </c>
      <c r="G3" s="9" t="s">
        <v>34</v>
      </c>
      <c r="H3" s="9" t="s">
        <v>35</v>
      </c>
      <c r="I3" s="14" t="e">
        <f ca="1">_xludf.MINIFS(VARIAN_STOK!$H$2:$H$333,VARIAN_STOK!$D$2:$D$333,$A3)</f>
        <v>#NAME?</v>
      </c>
      <c r="J3" s="14" t="e">
        <f ca="1">_xludf.MAXIFS(VARIAN_STOK!$H$2:$H$333,VARIAN_STOK!$D$2:$D$333,$A3)</f>
        <v>#NAME?</v>
      </c>
      <c r="K3" s="17">
        <f>SUMIF(VARIAN_STOK!$D$2:$D$333,$A3,VARIAN_STOK!$I$2:$I$333)</f>
        <v>16</v>
      </c>
      <c r="L3" s="17">
        <f>COUNTIF(VARIAN_STOK!$D$2:$D$333,$A3)</f>
        <v>6</v>
      </c>
      <c r="M3" s="9" t="s">
        <v>44</v>
      </c>
      <c r="N3" s="9" t="s">
        <v>37</v>
      </c>
      <c r="O3" s="9"/>
      <c r="P3" s="9"/>
      <c r="Q3" s="9"/>
      <c r="R3" s="9"/>
      <c r="S3" s="9"/>
      <c r="T3" s="9"/>
      <c r="U3" s="9" t="s">
        <v>39</v>
      </c>
      <c r="V3" s="9" t="s">
        <v>39</v>
      </c>
      <c r="W3" s="9" t="s">
        <v>40</v>
      </c>
      <c r="X3" s="10"/>
      <c r="Y3" s="38" t="s">
        <v>1386</v>
      </c>
      <c r="Z3" s="41">
        <v>60</v>
      </c>
      <c r="AA3" s="43">
        <v>46204</v>
      </c>
      <c r="AB3" s="43">
        <v>46234</v>
      </c>
      <c r="AC3" s="4" t="s">
        <v>1387</v>
      </c>
    </row>
    <row r="4" spans="1:29">
      <c r="A4" s="20" t="s">
        <v>45</v>
      </c>
      <c r="B4" s="9" t="s">
        <v>46</v>
      </c>
      <c r="C4" s="23">
        <v>1</v>
      </c>
      <c r="D4" s="26" t="s">
        <v>31</v>
      </c>
      <c r="E4" s="9" t="s">
        <v>47</v>
      </c>
      <c r="F4" s="9" t="s">
        <v>48</v>
      </c>
      <c r="G4" s="9" t="s">
        <v>34</v>
      </c>
      <c r="H4" s="9" t="s">
        <v>35</v>
      </c>
      <c r="I4" s="14" t="e">
        <f ca="1">_xludf.MINIFS(VARIAN_STOK!$H$2:$H$333,VARIAN_STOK!$D$2:$D$333,$A4)</f>
        <v>#NAME?</v>
      </c>
      <c r="J4" s="14" t="e">
        <f ca="1">_xludf.MAXIFS(VARIAN_STOK!$H$2:$H$333,VARIAN_STOK!$D$2:$D$333,$A4)</f>
        <v>#NAME?</v>
      </c>
      <c r="K4" s="17">
        <f>SUMIF(VARIAN_STOK!$D$2:$D$333,$A4,VARIAN_STOK!$I$2:$I$333)</f>
        <v>39</v>
      </c>
      <c r="L4" s="17">
        <f>COUNTIF(VARIAN_STOK!$D$2:$D$333,$A4)</f>
        <v>15</v>
      </c>
      <c r="M4" s="9" t="s">
        <v>36</v>
      </c>
      <c r="N4" s="9" t="s">
        <v>37</v>
      </c>
      <c r="O4" s="9"/>
      <c r="P4" s="9"/>
      <c r="Q4" s="9"/>
      <c r="R4" s="9"/>
      <c r="S4" s="9"/>
      <c r="T4" s="9"/>
      <c r="U4" s="9" t="s">
        <v>39</v>
      </c>
      <c r="V4" s="9" t="s">
        <v>39</v>
      </c>
      <c r="W4" s="9" t="s">
        <v>40</v>
      </c>
      <c r="X4" s="10"/>
      <c r="Y4" s="38" t="s">
        <v>1386</v>
      </c>
      <c r="Z4" s="41">
        <v>60</v>
      </c>
      <c r="AA4" s="43">
        <v>46204</v>
      </c>
      <c r="AB4" s="43">
        <v>46234</v>
      </c>
      <c r="AC4" s="4" t="s">
        <v>1387</v>
      </c>
    </row>
    <row r="5" spans="1:29">
      <c r="A5" s="20" t="s">
        <v>49</v>
      </c>
      <c r="B5" s="9" t="s">
        <v>50</v>
      </c>
      <c r="C5" s="23">
        <v>1</v>
      </c>
      <c r="D5" s="26" t="s">
        <v>31</v>
      </c>
      <c r="E5" s="9" t="s">
        <v>51</v>
      </c>
      <c r="F5" s="9" t="s">
        <v>48</v>
      </c>
      <c r="G5" s="9" t="s">
        <v>34</v>
      </c>
      <c r="H5" s="9" t="s">
        <v>35</v>
      </c>
      <c r="I5" s="14" t="e">
        <f ca="1">_xludf.MINIFS(VARIAN_STOK!$H$2:$H$333,VARIAN_STOK!$D$2:$D$333,$A5)</f>
        <v>#NAME?</v>
      </c>
      <c r="J5" s="14" t="e">
        <f ca="1">_xludf.MAXIFS(VARIAN_STOK!$H$2:$H$333,VARIAN_STOK!$D$2:$D$333,$A5)</f>
        <v>#NAME?</v>
      </c>
      <c r="K5" s="17">
        <f>SUMIF(VARIAN_STOK!$D$2:$D$333,$A5,VARIAN_STOK!$I$2:$I$333)</f>
        <v>10</v>
      </c>
      <c r="L5" s="17">
        <f>COUNTIF(VARIAN_STOK!$D$2:$D$333,$A5)</f>
        <v>5</v>
      </c>
      <c r="M5" s="9" t="s">
        <v>52</v>
      </c>
      <c r="N5" s="9" t="s">
        <v>37</v>
      </c>
      <c r="O5" s="9"/>
      <c r="P5" s="9"/>
      <c r="Q5" s="9"/>
      <c r="R5" s="9"/>
      <c r="S5" s="9"/>
      <c r="T5" s="9"/>
      <c r="U5" s="9" t="s">
        <v>39</v>
      </c>
      <c r="V5" s="9" t="s">
        <v>39</v>
      </c>
      <c r="W5" s="9" t="s">
        <v>40</v>
      </c>
      <c r="X5" s="10"/>
      <c r="Y5" s="38" t="s">
        <v>1386</v>
      </c>
      <c r="Z5" s="41">
        <v>60</v>
      </c>
      <c r="AA5" s="43">
        <v>46204</v>
      </c>
      <c r="AB5" s="43">
        <v>46234</v>
      </c>
      <c r="AC5" s="4" t="s">
        <v>1387</v>
      </c>
    </row>
    <row r="6" spans="1:29">
      <c r="A6" s="20" t="s">
        <v>53</v>
      </c>
      <c r="B6" s="9" t="s">
        <v>54</v>
      </c>
      <c r="C6" s="23">
        <v>2</v>
      </c>
      <c r="D6" s="26" t="s">
        <v>55</v>
      </c>
      <c r="E6" s="9" t="s">
        <v>56</v>
      </c>
      <c r="F6" s="9" t="s">
        <v>57</v>
      </c>
      <c r="G6" s="9" t="s">
        <v>58</v>
      </c>
      <c r="H6" s="9" t="s">
        <v>35</v>
      </c>
      <c r="I6" s="14" t="e">
        <f ca="1">_xludf.MINIFS(VARIAN_STOK!$H$2:$H$333,VARIAN_STOK!$D$2:$D$333,$A6)</f>
        <v>#NAME?</v>
      </c>
      <c r="J6" s="14" t="e">
        <f ca="1">_xludf.MAXIFS(VARIAN_STOK!$H$2:$H$333,VARIAN_STOK!$D$2:$D$333,$A6)</f>
        <v>#NAME?</v>
      </c>
      <c r="K6" s="17">
        <f>SUMIF(VARIAN_STOK!$D$2:$D$333,$A6,VARIAN_STOK!$I$2:$I$333)</f>
        <v>4</v>
      </c>
      <c r="L6" s="17">
        <f>COUNTIF(VARIAN_STOK!$D$2:$D$333,$A6)</f>
        <v>2</v>
      </c>
      <c r="M6" s="9" t="s">
        <v>59</v>
      </c>
      <c r="N6" s="9"/>
      <c r="O6" s="9"/>
      <c r="P6" s="9"/>
      <c r="Q6" s="9"/>
      <c r="R6" s="9"/>
      <c r="S6" s="9"/>
      <c r="T6" s="9"/>
      <c r="U6" s="9" t="s">
        <v>39</v>
      </c>
      <c r="V6" s="9" t="s">
        <v>39</v>
      </c>
      <c r="W6" s="9" t="s">
        <v>40</v>
      </c>
      <c r="X6" s="10"/>
      <c r="Y6" s="38" t="s">
        <v>1386</v>
      </c>
      <c r="Z6" s="41">
        <v>60</v>
      </c>
      <c r="AA6" s="43">
        <v>46204</v>
      </c>
      <c r="AB6" s="43">
        <v>46234</v>
      </c>
      <c r="AC6" s="4" t="s">
        <v>1387</v>
      </c>
    </row>
    <row r="7" spans="1:29">
      <c r="A7" s="20" t="s">
        <v>60</v>
      </c>
      <c r="B7" s="9" t="s">
        <v>61</v>
      </c>
      <c r="C7" s="23">
        <v>2</v>
      </c>
      <c r="D7" s="26" t="s">
        <v>55</v>
      </c>
      <c r="E7" s="9" t="s">
        <v>62</v>
      </c>
      <c r="F7" s="9" t="s">
        <v>57</v>
      </c>
      <c r="G7" s="9" t="s">
        <v>58</v>
      </c>
      <c r="H7" s="9" t="s">
        <v>35</v>
      </c>
      <c r="I7" s="14" t="e">
        <f ca="1">_xludf.MINIFS(VARIAN_STOK!$H$2:$H$333,VARIAN_STOK!$D$2:$D$333,$A7)</f>
        <v>#NAME?</v>
      </c>
      <c r="J7" s="14" t="e">
        <f ca="1">_xludf.MAXIFS(VARIAN_STOK!$H$2:$H$333,VARIAN_STOK!$D$2:$D$333,$A7)</f>
        <v>#NAME?</v>
      </c>
      <c r="K7" s="17">
        <f>SUMIF(VARIAN_STOK!$D$2:$D$333,$A7,VARIAN_STOK!$I$2:$I$333)</f>
        <v>1</v>
      </c>
      <c r="L7" s="17">
        <f>COUNTIF(VARIAN_STOK!$D$2:$D$333,$A7)</f>
        <v>1</v>
      </c>
      <c r="M7" s="9" t="s">
        <v>63</v>
      </c>
      <c r="N7" s="9"/>
      <c r="O7" s="9"/>
      <c r="P7" s="9"/>
      <c r="Q7" s="9"/>
      <c r="R7" s="9"/>
      <c r="S7" s="9"/>
      <c r="T7" s="9"/>
      <c r="U7" s="9" t="s">
        <v>39</v>
      </c>
      <c r="V7" s="9" t="s">
        <v>39</v>
      </c>
      <c r="W7" s="9" t="s">
        <v>40</v>
      </c>
      <c r="X7" s="10"/>
      <c r="Y7" s="38" t="s">
        <v>1386</v>
      </c>
      <c r="Z7" s="41">
        <v>60</v>
      </c>
      <c r="AA7" s="43">
        <v>46204</v>
      </c>
      <c r="AB7" s="43">
        <v>46234</v>
      </c>
      <c r="AC7" s="4" t="s">
        <v>1387</v>
      </c>
    </row>
    <row r="8" spans="1:29">
      <c r="A8" s="20" t="s">
        <v>64</v>
      </c>
      <c r="B8" s="9" t="s">
        <v>65</v>
      </c>
      <c r="C8" s="23">
        <v>2</v>
      </c>
      <c r="D8" s="26" t="s">
        <v>55</v>
      </c>
      <c r="E8" s="9" t="s">
        <v>66</v>
      </c>
      <c r="F8" s="9" t="s">
        <v>33</v>
      </c>
      <c r="G8" s="9" t="s">
        <v>58</v>
      </c>
      <c r="H8" s="9" t="s">
        <v>35</v>
      </c>
      <c r="I8" s="14" t="e">
        <f ca="1">_xludf.MINIFS(VARIAN_STOK!$H$2:$H$333,VARIAN_STOK!$D$2:$D$333,$A8)</f>
        <v>#NAME?</v>
      </c>
      <c r="J8" s="14" t="e">
        <f ca="1">_xludf.MAXIFS(VARIAN_STOK!$H$2:$H$333,VARIAN_STOK!$D$2:$D$333,$A8)</f>
        <v>#NAME?</v>
      </c>
      <c r="K8" s="17">
        <f>SUMIF(VARIAN_STOK!$D$2:$D$333,$A8,VARIAN_STOK!$I$2:$I$333)</f>
        <v>3</v>
      </c>
      <c r="L8" s="17">
        <f>COUNTIF(VARIAN_STOK!$D$2:$D$333,$A8)</f>
        <v>2</v>
      </c>
      <c r="M8" s="9" t="s">
        <v>67</v>
      </c>
      <c r="N8" s="9" t="s">
        <v>68</v>
      </c>
      <c r="O8" s="9"/>
      <c r="P8" s="9"/>
      <c r="Q8" s="9"/>
      <c r="R8" s="9"/>
      <c r="S8" s="9"/>
      <c r="T8" s="9"/>
      <c r="U8" s="9" t="s">
        <v>39</v>
      </c>
      <c r="V8" s="9" t="s">
        <v>39</v>
      </c>
      <c r="W8" s="9" t="s">
        <v>40</v>
      </c>
      <c r="X8" s="10"/>
      <c r="Y8" s="38" t="s">
        <v>1386</v>
      </c>
      <c r="Z8" s="41">
        <v>60</v>
      </c>
      <c r="AA8" s="43">
        <v>46204</v>
      </c>
      <c r="AB8" s="43">
        <v>46234</v>
      </c>
      <c r="AC8" s="4" t="s">
        <v>1387</v>
      </c>
    </row>
    <row r="9" spans="1:29">
      <c r="A9" s="20" t="s">
        <v>69</v>
      </c>
      <c r="B9" s="9" t="s">
        <v>70</v>
      </c>
      <c r="C9" s="23">
        <v>2</v>
      </c>
      <c r="D9" s="26" t="s">
        <v>55</v>
      </c>
      <c r="E9" s="9" t="s">
        <v>71</v>
      </c>
      <c r="F9" s="9" t="s">
        <v>33</v>
      </c>
      <c r="G9" s="9" t="s">
        <v>58</v>
      </c>
      <c r="H9" s="9" t="s">
        <v>35</v>
      </c>
      <c r="I9" s="14" t="e">
        <f ca="1">_xludf.MINIFS(VARIAN_STOK!$H$2:$H$333,VARIAN_STOK!$D$2:$D$333,$A9)</f>
        <v>#NAME?</v>
      </c>
      <c r="J9" s="14" t="e">
        <f ca="1">_xludf.MAXIFS(VARIAN_STOK!$H$2:$H$333,VARIAN_STOK!$D$2:$D$333,$A9)</f>
        <v>#NAME?</v>
      </c>
      <c r="K9" s="17">
        <f>SUMIF(VARIAN_STOK!$D$2:$D$333,$A9,VARIAN_STOK!$I$2:$I$333)</f>
        <v>3</v>
      </c>
      <c r="L9" s="17">
        <f>COUNTIF(VARIAN_STOK!$D$2:$D$333,$A9)</f>
        <v>3</v>
      </c>
      <c r="M9" s="9" t="s">
        <v>72</v>
      </c>
      <c r="N9" s="9" t="s">
        <v>68</v>
      </c>
      <c r="O9" s="9"/>
      <c r="P9" s="9"/>
      <c r="Q9" s="9"/>
      <c r="R9" s="9"/>
      <c r="S9" s="9"/>
      <c r="T9" s="9"/>
      <c r="U9" s="9" t="s">
        <v>39</v>
      </c>
      <c r="V9" s="9" t="s">
        <v>39</v>
      </c>
      <c r="W9" s="9" t="s">
        <v>40</v>
      </c>
      <c r="X9" s="10"/>
      <c r="Y9" s="38" t="s">
        <v>1386</v>
      </c>
      <c r="Z9" s="41">
        <v>60</v>
      </c>
      <c r="AA9" s="43">
        <v>46204</v>
      </c>
      <c r="AB9" s="43">
        <v>46234</v>
      </c>
      <c r="AC9" s="4" t="s">
        <v>1387</v>
      </c>
    </row>
    <row r="10" spans="1:29">
      <c r="A10" s="20" t="s">
        <v>73</v>
      </c>
      <c r="B10" s="9" t="s">
        <v>74</v>
      </c>
      <c r="C10" s="23">
        <v>2</v>
      </c>
      <c r="D10" s="26" t="s">
        <v>55</v>
      </c>
      <c r="E10" s="9" t="s">
        <v>75</v>
      </c>
      <c r="F10" s="9" t="s">
        <v>33</v>
      </c>
      <c r="G10" s="9" t="s">
        <v>58</v>
      </c>
      <c r="H10" s="9" t="s">
        <v>35</v>
      </c>
      <c r="I10" s="14" t="e">
        <f ca="1">_xludf.MINIFS(VARIAN_STOK!$H$2:$H$333,VARIAN_STOK!$D$2:$D$333,$A10)</f>
        <v>#NAME?</v>
      </c>
      <c r="J10" s="14" t="e">
        <f ca="1">_xludf.MAXIFS(VARIAN_STOK!$H$2:$H$333,VARIAN_STOK!$D$2:$D$333,$A10)</f>
        <v>#NAME?</v>
      </c>
      <c r="K10" s="17">
        <f>SUMIF(VARIAN_STOK!$D$2:$D$333,$A10,VARIAN_STOK!$I$2:$I$333)</f>
        <v>2</v>
      </c>
      <c r="L10" s="17">
        <f>COUNTIF(VARIAN_STOK!$D$2:$D$333,$A10)</f>
        <v>1</v>
      </c>
      <c r="M10" s="9" t="s">
        <v>76</v>
      </c>
      <c r="N10" s="9" t="s">
        <v>77</v>
      </c>
      <c r="O10" s="9"/>
      <c r="P10" s="9"/>
      <c r="Q10" s="9"/>
      <c r="R10" s="9"/>
      <c r="S10" s="9"/>
      <c r="T10" s="9"/>
      <c r="U10" s="9" t="s">
        <v>39</v>
      </c>
      <c r="V10" s="9" t="s">
        <v>39</v>
      </c>
      <c r="W10" s="9" t="s">
        <v>40</v>
      </c>
      <c r="X10" s="10"/>
      <c r="Y10" s="38" t="s">
        <v>1386</v>
      </c>
      <c r="Z10" s="41">
        <v>60</v>
      </c>
      <c r="AA10" s="43">
        <v>46204</v>
      </c>
      <c r="AB10" s="43">
        <v>46234</v>
      </c>
      <c r="AC10" s="4" t="s">
        <v>1387</v>
      </c>
    </row>
    <row r="11" spans="1:29">
      <c r="A11" s="20" t="s">
        <v>78</v>
      </c>
      <c r="B11" s="9" t="s">
        <v>79</v>
      </c>
      <c r="C11" s="23">
        <v>2</v>
      </c>
      <c r="D11" s="26" t="s">
        <v>55</v>
      </c>
      <c r="E11" s="9" t="s">
        <v>80</v>
      </c>
      <c r="F11" s="9" t="s">
        <v>33</v>
      </c>
      <c r="G11" s="9" t="s">
        <v>34</v>
      </c>
      <c r="H11" s="9" t="s">
        <v>35</v>
      </c>
      <c r="I11" s="14" t="e">
        <f ca="1">_xludf.MINIFS(VARIAN_STOK!$H$2:$H$333,VARIAN_STOK!$D$2:$D$333,$A11)</f>
        <v>#NAME?</v>
      </c>
      <c r="J11" s="14" t="e">
        <f ca="1">_xludf.MAXIFS(VARIAN_STOK!$H$2:$H$333,VARIAN_STOK!$D$2:$D$333,$A11)</f>
        <v>#NAME?</v>
      </c>
      <c r="K11" s="17">
        <f>SUMIF(VARIAN_STOK!$D$2:$D$333,$A11,VARIAN_STOK!$I$2:$I$333)</f>
        <v>7</v>
      </c>
      <c r="L11" s="17">
        <f>COUNTIF(VARIAN_STOK!$D$2:$D$333,$A11)</f>
        <v>3</v>
      </c>
      <c r="M11" s="9"/>
      <c r="N11" s="9" t="s">
        <v>81</v>
      </c>
      <c r="O11" s="9"/>
      <c r="P11" s="9"/>
      <c r="Q11" s="9"/>
      <c r="R11" s="9"/>
      <c r="S11" s="9"/>
      <c r="T11" s="9"/>
      <c r="U11" s="9" t="s">
        <v>39</v>
      </c>
      <c r="V11" s="9" t="s">
        <v>39</v>
      </c>
      <c r="W11" s="9" t="s">
        <v>40</v>
      </c>
      <c r="X11" s="10"/>
      <c r="Y11" s="38" t="s">
        <v>1386</v>
      </c>
      <c r="Z11" s="41">
        <v>60</v>
      </c>
      <c r="AA11" s="43">
        <v>46204</v>
      </c>
      <c r="AB11" s="43">
        <v>46234</v>
      </c>
      <c r="AC11" s="4" t="s">
        <v>1387</v>
      </c>
    </row>
    <row r="12" spans="1:29">
      <c r="A12" s="20" t="s">
        <v>82</v>
      </c>
      <c r="B12" s="9" t="s">
        <v>83</v>
      </c>
      <c r="C12" s="23">
        <v>2</v>
      </c>
      <c r="D12" s="26" t="s">
        <v>55</v>
      </c>
      <c r="E12" s="9" t="s">
        <v>84</v>
      </c>
      <c r="F12" s="9" t="s">
        <v>33</v>
      </c>
      <c r="G12" s="9" t="s">
        <v>58</v>
      </c>
      <c r="H12" s="9" t="s">
        <v>35</v>
      </c>
      <c r="I12" s="14" t="e">
        <f ca="1">_xludf.MINIFS(VARIAN_STOK!$H$2:$H$333,VARIAN_STOK!$D$2:$D$333,$A12)</f>
        <v>#NAME?</v>
      </c>
      <c r="J12" s="14" t="e">
        <f ca="1">_xludf.MAXIFS(VARIAN_STOK!$H$2:$H$333,VARIAN_STOK!$D$2:$D$333,$A12)</f>
        <v>#NAME?</v>
      </c>
      <c r="K12" s="17">
        <f>SUMIF(VARIAN_STOK!$D$2:$D$333,$A12,VARIAN_STOK!$I$2:$I$333)</f>
        <v>1</v>
      </c>
      <c r="L12" s="17">
        <f>COUNTIF(VARIAN_STOK!$D$2:$D$333,$A12)</f>
        <v>1</v>
      </c>
      <c r="M12" s="9"/>
      <c r="N12" s="9" t="s">
        <v>77</v>
      </c>
      <c r="O12" s="9"/>
      <c r="P12" s="9"/>
      <c r="Q12" s="9"/>
      <c r="R12" s="9"/>
      <c r="S12" s="9"/>
      <c r="T12" s="9"/>
      <c r="U12" s="9" t="s">
        <v>39</v>
      </c>
      <c r="V12" s="9" t="s">
        <v>39</v>
      </c>
      <c r="W12" s="9" t="s">
        <v>40</v>
      </c>
      <c r="X12" s="10"/>
      <c r="Y12" s="38" t="s">
        <v>1386</v>
      </c>
      <c r="Z12" s="41">
        <v>60</v>
      </c>
      <c r="AA12" s="43">
        <v>46204</v>
      </c>
      <c r="AB12" s="43">
        <v>46234</v>
      </c>
      <c r="AC12" s="4" t="s">
        <v>1387</v>
      </c>
    </row>
    <row r="13" spans="1:29">
      <c r="A13" s="20" t="s">
        <v>85</v>
      </c>
      <c r="B13" s="9" t="s">
        <v>86</v>
      </c>
      <c r="C13" s="23">
        <v>2</v>
      </c>
      <c r="D13" s="26" t="s">
        <v>55</v>
      </c>
      <c r="E13" s="9" t="s">
        <v>87</v>
      </c>
      <c r="F13" s="9" t="s">
        <v>88</v>
      </c>
      <c r="G13" s="9" t="s">
        <v>58</v>
      </c>
      <c r="H13" s="9" t="s">
        <v>35</v>
      </c>
      <c r="I13" s="14" t="e">
        <f ca="1">_xludf.MINIFS(VARIAN_STOK!$H$2:$H$333,VARIAN_STOK!$D$2:$D$333,$A13)</f>
        <v>#NAME?</v>
      </c>
      <c r="J13" s="14" t="e">
        <f ca="1">_xludf.MAXIFS(VARIAN_STOK!$H$2:$H$333,VARIAN_STOK!$D$2:$D$333,$A13)</f>
        <v>#NAME?</v>
      </c>
      <c r="K13" s="17">
        <f>SUMIF(VARIAN_STOK!$D$2:$D$333,$A13,VARIAN_STOK!$I$2:$I$333)</f>
        <v>1</v>
      </c>
      <c r="L13" s="17">
        <f>COUNTIF(VARIAN_STOK!$D$2:$D$333,$A13)</f>
        <v>1</v>
      </c>
      <c r="M13" s="9" t="s">
        <v>89</v>
      </c>
      <c r="N13" s="9"/>
      <c r="O13" s="9"/>
      <c r="P13" s="9"/>
      <c r="Q13" s="9"/>
      <c r="R13" s="9"/>
      <c r="S13" s="9"/>
      <c r="T13" s="9"/>
      <c r="U13" s="9" t="s">
        <v>39</v>
      </c>
      <c r="V13" s="9" t="s">
        <v>39</v>
      </c>
      <c r="W13" s="9" t="s">
        <v>40</v>
      </c>
      <c r="X13" s="10"/>
      <c r="Y13" s="38" t="s">
        <v>1386</v>
      </c>
      <c r="Z13" s="41">
        <v>60</v>
      </c>
      <c r="AA13" s="43">
        <v>46204</v>
      </c>
      <c r="AB13" s="43">
        <v>46234</v>
      </c>
      <c r="AC13" s="4" t="s">
        <v>1387</v>
      </c>
    </row>
    <row r="14" spans="1:29">
      <c r="A14" s="20" t="s">
        <v>90</v>
      </c>
      <c r="B14" s="9" t="s">
        <v>91</v>
      </c>
      <c r="C14" s="23">
        <v>2</v>
      </c>
      <c r="D14" s="26" t="s">
        <v>55</v>
      </c>
      <c r="E14" s="9" t="s">
        <v>92</v>
      </c>
      <c r="F14" s="9" t="s">
        <v>48</v>
      </c>
      <c r="G14" s="9" t="s">
        <v>34</v>
      </c>
      <c r="H14" s="9" t="s">
        <v>35</v>
      </c>
      <c r="I14" s="14" t="e">
        <f ca="1">_xludf.MINIFS(VARIAN_STOK!$H$2:$H$333,VARIAN_STOK!$D$2:$D$333,$A14)</f>
        <v>#NAME?</v>
      </c>
      <c r="J14" s="14" t="e">
        <f ca="1">_xludf.MAXIFS(VARIAN_STOK!$H$2:$H$333,VARIAN_STOK!$D$2:$D$333,$A14)</f>
        <v>#NAME?</v>
      </c>
      <c r="K14" s="17">
        <f>SUMIF(VARIAN_STOK!$D$2:$D$333,$A14,VARIAN_STOK!$I$2:$I$333)</f>
        <v>12</v>
      </c>
      <c r="L14" s="17">
        <f>COUNTIF(VARIAN_STOK!$D$2:$D$333,$A14)</f>
        <v>4</v>
      </c>
      <c r="M14" s="9"/>
      <c r="N14" s="9" t="s">
        <v>93</v>
      </c>
      <c r="O14" s="9"/>
      <c r="P14" s="9"/>
      <c r="Q14" s="9"/>
      <c r="R14" s="9"/>
      <c r="S14" s="9"/>
      <c r="T14" s="9"/>
      <c r="U14" s="9" t="s">
        <v>39</v>
      </c>
      <c r="V14" s="9" t="s">
        <v>39</v>
      </c>
      <c r="W14" s="9" t="s">
        <v>40</v>
      </c>
      <c r="X14" s="10"/>
      <c r="Y14" s="38" t="s">
        <v>1386</v>
      </c>
      <c r="Z14" s="41">
        <v>60</v>
      </c>
      <c r="AA14" s="43">
        <v>46204</v>
      </c>
      <c r="AB14" s="43">
        <v>46234</v>
      </c>
      <c r="AC14" s="4" t="s">
        <v>1387</v>
      </c>
    </row>
    <row r="15" spans="1:29">
      <c r="A15" s="20" t="s">
        <v>94</v>
      </c>
      <c r="B15" s="9" t="s">
        <v>95</v>
      </c>
      <c r="C15" s="23">
        <v>3</v>
      </c>
      <c r="D15" s="26" t="s">
        <v>96</v>
      </c>
      <c r="E15" s="9" t="s">
        <v>97</v>
      </c>
      <c r="F15" s="9" t="s">
        <v>98</v>
      </c>
      <c r="G15" s="9" t="s">
        <v>58</v>
      </c>
      <c r="H15" s="9" t="s">
        <v>35</v>
      </c>
      <c r="I15" s="14" t="e">
        <f ca="1">_xludf.MINIFS(VARIAN_STOK!$H$2:$H$333,VARIAN_STOK!$D$2:$D$333,$A15)</f>
        <v>#NAME?</v>
      </c>
      <c r="J15" s="14" t="e">
        <f ca="1">_xludf.MAXIFS(VARIAN_STOK!$H$2:$H$333,VARIAN_STOK!$D$2:$D$333,$A15)</f>
        <v>#NAME?</v>
      </c>
      <c r="K15" s="17">
        <f>SUMIF(VARIAN_STOK!$D$2:$D$333,$A15,VARIAN_STOK!$I$2:$I$333)</f>
        <v>3</v>
      </c>
      <c r="L15" s="17">
        <f>COUNTIF(VARIAN_STOK!$D$2:$D$333,$A15)</f>
        <v>1</v>
      </c>
      <c r="M15" s="9"/>
      <c r="N15" s="9"/>
      <c r="O15" s="9"/>
      <c r="P15" s="9"/>
      <c r="Q15" s="9"/>
      <c r="R15" s="9"/>
      <c r="S15" s="9"/>
      <c r="T15" s="9"/>
      <c r="U15" s="9" t="s">
        <v>39</v>
      </c>
      <c r="V15" s="9" t="s">
        <v>39</v>
      </c>
      <c r="W15" s="9" t="s">
        <v>40</v>
      </c>
      <c r="X15" s="10"/>
      <c r="Y15" s="38" t="s">
        <v>1386</v>
      </c>
      <c r="Z15" s="41">
        <v>10</v>
      </c>
      <c r="AA15" s="44">
        <v>46204</v>
      </c>
      <c r="AB15" s="43">
        <v>46234</v>
      </c>
      <c r="AC15" s="4" t="s">
        <v>1387</v>
      </c>
    </row>
    <row r="16" spans="1:29">
      <c r="A16" s="20" t="s">
        <v>99</v>
      </c>
      <c r="B16" s="9" t="s">
        <v>100</v>
      </c>
      <c r="C16" s="23">
        <v>3</v>
      </c>
      <c r="D16" s="26" t="s">
        <v>96</v>
      </c>
      <c r="E16" s="9" t="s">
        <v>101</v>
      </c>
      <c r="F16" s="9" t="s">
        <v>98</v>
      </c>
      <c r="G16" s="9" t="s">
        <v>58</v>
      </c>
      <c r="H16" s="9" t="s">
        <v>35</v>
      </c>
      <c r="I16" s="14" t="e">
        <f ca="1">_xludf.MINIFS(VARIAN_STOK!$H$2:$H$333,VARIAN_STOK!$D$2:$D$333,$A16)</f>
        <v>#NAME?</v>
      </c>
      <c r="J16" s="14" t="e">
        <f ca="1">_xludf.MAXIFS(VARIAN_STOK!$H$2:$H$333,VARIAN_STOK!$D$2:$D$333,$A16)</f>
        <v>#NAME?</v>
      </c>
      <c r="K16" s="17">
        <f>SUMIF(VARIAN_STOK!$D$2:$D$333,$A16,VARIAN_STOK!$I$2:$I$333)</f>
        <v>2</v>
      </c>
      <c r="L16" s="17">
        <f>COUNTIF(VARIAN_STOK!$D$2:$D$333,$A16)</f>
        <v>2</v>
      </c>
      <c r="M16" s="9" t="s">
        <v>102</v>
      </c>
      <c r="N16" s="9" t="s">
        <v>77</v>
      </c>
      <c r="O16" s="9"/>
      <c r="P16" s="9"/>
      <c r="Q16" s="9"/>
      <c r="R16" s="9"/>
      <c r="S16" s="9"/>
      <c r="T16" s="9"/>
      <c r="U16" s="9" t="s">
        <v>39</v>
      </c>
      <c r="V16" s="9" t="s">
        <v>39</v>
      </c>
      <c r="W16" s="9" t="s">
        <v>40</v>
      </c>
      <c r="X16" s="10"/>
      <c r="Y16" s="38" t="s">
        <v>1386</v>
      </c>
      <c r="Z16" s="41">
        <v>10</v>
      </c>
      <c r="AA16" s="44">
        <v>46204</v>
      </c>
      <c r="AB16" s="43">
        <v>46234</v>
      </c>
      <c r="AC16" s="4" t="s">
        <v>1387</v>
      </c>
    </row>
    <row r="17" spans="1:29">
      <c r="A17" s="20" t="s">
        <v>103</v>
      </c>
      <c r="B17" s="9" t="s">
        <v>104</v>
      </c>
      <c r="C17" s="23">
        <v>3</v>
      </c>
      <c r="D17" s="26" t="s">
        <v>96</v>
      </c>
      <c r="E17" s="9" t="s">
        <v>105</v>
      </c>
      <c r="F17" s="9" t="s">
        <v>33</v>
      </c>
      <c r="G17" s="9" t="s">
        <v>34</v>
      </c>
      <c r="H17" s="9" t="s">
        <v>35</v>
      </c>
      <c r="I17" s="14" t="e">
        <f ca="1">_xludf.MINIFS(VARIAN_STOK!$H$2:$H$333,VARIAN_STOK!$D$2:$D$333,$A17)</f>
        <v>#NAME?</v>
      </c>
      <c r="J17" s="14" t="e">
        <f ca="1">_xludf.MAXIFS(VARIAN_STOK!$H$2:$H$333,VARIAN_STOK!$D$2:$D$333,$A17)</f>
        <v>#NAME?</v>
      </c>
      <c r="K17" s="17">
        <f>SUMIF(VARIAN_STOK!$D$2:$D$333,$A17,VARIAN_STOK!$I$2:$I$333)</f>
        <v>3</v>
      </c>
      <c r="L17" s="17">
        <f>COUNTIF(VARIAN_STOK!$D$2:$D$333,$A17)</f>
        <v>3</v>
      </c>
      <c r="M17" s="9"/>
      <c r="N17" s="9" t="s">
        <v>106</v>
      </c>
      <c r="O17" s="9"/>
      <c r="P17" s="9"/>
      <c r="Q17" s="9"/>
      <c r="R17" s="9"/>
      <c r="S17" s="9"/>
      <c r="T17" s="9"/>
      <c r="U17" s="9" t="s">
        <v>39</v>
      </c>
      <c r="V17" s="9" t="s">
        <v>39</v>
      </c>
      <c r="W17" s="9" t="s">
        <v>40</v>
      </c>
      <c r="X17" s="10"/>
      <c r="Y17" s="38" t="s">
        <v>1386</v>
      </c>
      <c r="Z17" s="41">
        <v>10</v>
      </c>
      <c r="AA17" s="44">
        <v>46204</v>
      </c>
      <c r="AB17" s="43">
        <v>46234</v>
      </c>
      <c r="AC17" s="4" t="s">
        <v>1387</v>
      </c>
    </row>
    <row r="18" spans="1:29">
      <c r="A18" s="20" t="s">
        <v>107</v>
      </c>
      <c r="B18" s="9" t="s">
        <v>108</v>
      </c>
      <c r="C18" s="23">
        <v>3</v>
      </c>
      <c r="D18" s="26" t="s">
        <v>96</v>
      </c>
      <c r="E18" s="9" t="s">
        <v>109</v>
      </c>
      <c r="F18" s="9" t="s">
        <v>33</v>
      </c>
      <c r="G18" s="9" t="s">
        <v>58</v>
      </c>
      <c r="H18" s="9" t="s">
        <v>35</v>
      </c>
      <c r="I18" s="14" t="e">
        <f ca="1">_xludf.MINIFS(VARIAN_STOK!$H$2:$H$333,VARIAN_STOK!$D$2:$D$333,$A18)</f>
        <v>#NAME?</v>
      </c>
      <c r="J18" s="14" t="e">
        <f ca="1">_xludf.MAXIFS(VARIAN_STOK!$H$2:$H$333,VARIAN_STOK!$D$2:$D$333,$A18)</f>
        <v>#NAME?</v>
      </c>
      <c r="K18" s="17">
        <f>SUMIF(VARIAN_STOK!$D$2:$D$333,$A18,VARIAN_STOK!$I$2:$I$333)</f>
        <v>7</v>
      </c>
      <c r="L18" s="17">
        <f>COUNTIF(VARIAN_STOK!$D$2:$D$333,$A18)</f>
        <v>5</v>
      </c>
      <c r="M18" s="9"/>
      <c r="N18" s="9" t="s">
        <v>110</v>
      </c>
      <c r="O18" s="9"/>
      <c r="P18" s="9"/>
      <c r="Q18" s="9"/>
      <c r="R18" s="9"/>
      <c r="S18" s="9"/>
      <c r="T18" s="9"/>
      <c r="U18" s="9" t="s">
        <v>39</v>
      </c>
      <c r="V18" s="9" t="s">
        <v>39</v>
      </c>
      <c r="W18" s="9" t="s">
        <v>40</v>
      </c>
      <c r="X18" s="10"/>
      <c r="Y18" s="38" t="s">
        <v>1386</v>
      </c>
      <c r="Z18" s="41">
        <v>10</v>
      </c>
      <c r="AA18" s="44">
        <v>46204</v>
      </c>
      <c r="AB18" s="43">
        <v>46234</v>
      </c>
      <c r="AC18" s="4" t="s">
        <v>1387</v>
      </c>
    </row>
    <row r="19" spans="1:29">
      <c r="A19" s="20" t="s">
        <v>111</v>
      </c>
      <c r="B19" s="9" t="s">
        <v>112</v>
      </c>
      <c r="C19" s="23">
        <v>3</v>
      </c>
      <c r="D19" s="26" t="s">
        <v>96</v>
      </c>
      <c r="E19" s="9" t="s">
        <v>113</v>
      </c>
      <c r="F19" s="9" t="s">
        <v>33</v>
      </c>
      <c r="G19" s="9" t="s">
        <v>34</v>
      </c>
      <c r="H19" s="9" t="s">
        <v>35</v>
      </c>
      <c r="I19" s="14" t="e">
        <f ca="1">_xludf.MINIFS(VARIAN_STOK!$H$2:$H$333,VARIAN_STOK!$D$2:$D$333,$A19)</f>
        <v>#NAME?</v>
      </c>
      <c r="J19" s="14" t="e">
        <f ca="1">_xludf.MAXIFS(VARIAN_STOK!$H$2:$H$333,VARIAN_STOK!$D$2:$D$333,$A19)</f>
        <v>#NAME?</v>
      </c>
      <c r="K19" s="17">
        <f>SUMIF(VARIAN_STOK!$D$2:$D$333,$A19,VARIAN_STOK!$I$2:$I$333)</f>
        <v>3</v>
      </c>
      <c r="L19" s="17">
        <f>COUNTIF(VARIAN_STOK!$D$2:$D$333,$A19)</f>
        <v>3</v>
      </c>
      <c r="M19" s="9"/>
      <c r="N19" s="9" t="s">
        <v>114</v>
      </c>
      <c r="O19" s="9"/>
      <c r="P19" s="9"/>
      <c r="Q19" s="9"/>
      <c r="R19" s="9"/>
      <c r="S19" s="9"/>
      <c r="T19" s="9"/>
      <c r="U19" s="9" t="s">
        <v>39</v>
      </c>
      <c r="V19" s="9" t="s">
        <v>39</v>
      </c>
      <c r="W19" s="9" t="s">
        <v>40</v>
      </c>
      <c r="X19" s="10"/>
      <c r="Y19" s="38" t="s">
        <v>1386</v>
      </c>
      <c r="Z19" s="41">
        <v>10</v>
      </c>
      <c r="AA19" s="44">
        <v>46204</v>
      </c>
      <c r="AB19" s="43">
        <v>46234</v>
      </c>
      <c r="AC19" s="4" t="s">
        <v>1387</v>
      </c>
    </row>
    <row r="20" spans="1:29">
      <c r="A20" s="20" t="s">
        <v>115</v>
      </c>
      <c r="B20" s="9" t="s">
        <v>116</v>
      </c>
      <c r="C20" s="23">
        <v>3</v>
      </c>
      <c r="D20" s="26" t="s">
        <v>96</v>
      </c>
      <c r="E20" s="9" t="s">
        <v>117</v>
      </c>
      <c r="F20" s="9" t="s">
        <v>33</v>
      </c>
      <c r="G20" s="9" t="s">
        <v>58</v>
      </c>
      <c r="H20" s="9" t="s">
        <v>35</v>
      </c>
      <c r="I20" s="14" t="e">
        <f ca="1">_xludf.MINIFS(VARIAN_STOK!$H$2:$H$333,VARIAN_STOK!$D$2:$D$333,$A20)</f>
        <v>#NAME?</v>
      </c>
      <c r="J20" s="14" t="e">
        <f ca="1">_xludf.MAXIFS(VARIAN_STOK!$H$2:$H$333,VARIAN_STOK!$D$2:$D$333,$A20)</f>
        <v>#NAME?</v>
      </c>
      <c r="K20" s="17">
        <f>SUMIF(VARIAN_STOK!$D$2:$D$333,$A20,VARIAN_STOK!$I$2:$I$333)</f>
        <v>1</v>
      </c>
      <c r="L20" s="17">
        <f>COUNTIF(VARIAN_STOK!$D$2:$D$333,$A20)</f>
        <v>1</v>
      </c>
      <c r="M20" s="9"/>
      <c r="N20" s="9" t="s">
        <v>77</v>
      </c>
      <c r="O20" s="9"/>
      <c r="P20" s="9"/>
      <c r="Q20" s="9"/>
      <c r="R20" s="9"/>
      <c r="S20" s="9"/>
      <c r="T20" s="9"/>
      <c r="U20" s="9" t="s">
        <v>39</v>
      </c>
      <c r="V20" s="9" t="s">
        <v>39</v>
      </c>
      <c r="W20" s="9" t="s">
        <v>40</v>
      </c>
      <c r="X20" s="10"/>
      <c r="Y20" s="38" t="s">
        <v>1386</v>
      </c>
      <c r="Z20" s="41">
        <v>10</v>
      </c>
      <c r="AA20" s="44">
        <v>46204</v>
      </c>
      <c r="AB20" s="43">
        <v>46234</v>
      </c>
      <c r="AC20" s="4" t="s">
        <v>1387</v>
      </c>
    </row>
    <row r="21" spans="1:29">
      <c r="A21" s="20" t="s">
        <v>118</v>
      </c>
      <c r="B21" s="9" t="s">
        <v>119</v>
      </c>
      <c r="C21" s="23">
        <v>3</v>
      </c>
      <c r="D21" s="26" t="s">
        <v>96</v>
      </c>
      <c r="E21" s="9" t="s">
        <v>120</v>
      </c>
      <c r="F21" s="9" t="s">
        <v>121</v>
      </c>
      <c r="G21" s="9" t="s">
        <v>58</v>
      </c>
      <c r="H21" s="9" t="s">
        <v>35</v>
      </c>
      <c r="I21" s="14" t="e">
        <f ca="1">_xludf.MINIFS(VARIAN_STOK!$H$2:$H$333,VARIAN_STOK!$D$2:$D$333,$A21)</f>
        <v>#NAME?</v>
      </c>
      <c r="J21" s="14" t="e">
        <f ca="1">_xludf.MAXIFS(VARIAN_STOK!$H$2:$H$333,VARIAN_STOK!$D$2:$D$333,$A21)</f>
        <v>#NAME?</v>
      </c>
      <c r="K21" s="17">
        <f>SUMIF(VARIAN_STOK!$D$2:$D$333,$A21,VARIAN_STOK!$I$2:$I$333)</f>
        <v>1</v>
      </c>
      <c r="L21" s="17">
        <f>COUNTIF(VARIAN_STOK!$D$2:$D$333,$A21)</f>
        <v>1</v>
      </c>
      <c r="M21" s="9"/>
      <c r="N21" s="9" t="s">
        <v>122</v>
      </c>
      <c r="O21" s="9"/>
      <c r="P21" s="9"/>
      <c r="Q21" s="9"/>
      <c r="R21" s="9"/>
      <c r="S21" s="9"/>
      <c r="T21" s="9"/>
      <c r="U21" s="9" t="s">
        <v>39</v>
      </c>
      <c r="V21" s="9" t="s">
        <v>39</v>
      </c>
      <c r="W21" s="9" t="s">
        <v>40</v>
      </c>
      <c r="X21" s="10"/>
      <c r="Y21" s="38" t="s">
        <v>1386</v>
      </c>
      <c r="Z21" s="41">
        <v>10</v>
      </c>
      <c r="AA21" s="44">
        <v>46204</v>
      </c>
      <c r="AB21" s="43">
        <v>46234</v>
      </c>
      <c r="AC21" s="4" t="s">
        <v>1387</v>
      </c>
    </row>
    <row r="22" spans="1:29">
      <c r="A22" s="20" t="s">
        <v>123</v>
      </c>
      <c r="B22" s="9" t="s">
        <v>124</v>
      </c>
      <c r="C22" s="23">
        <v>3</v>
      </c>
      <c r="D22" s="26" t="s">
        <v>96</v>
      </c>
      <c r="E22" s="9" t="s">
        <v>125</v>
      </c>
      <c r="F22" s="9" t="s">
        <v>121</v>
      </c>
      <c r="G22" s="9" t="s">
        <v>58</v>
      </c>
      <c r="H22" s="9" t="s">
        <v>35</v>
      </c>
      <c r="I22" s="14" t="e">
        <f ca="1">_xludf.MINIFS(VARIAN_STOK!$H$2:$H$333,VARIAN_STOK!$D$2:$D$333,$A22)</f>
        <v>#NAME?</v>
      </c>
      <c r="J22" s="14" t="e">
        <f ca="1">_xludf.MAXIFS(VARIAN_STOK!$H$2:$H$333,VARIAN_STOK!$D$2:$D$333,$A22)</f>
        <v>#NAME?</v>
      </c>
      <c r="K22" s="17">
        <f>SUMIF(VARIAN_STOK!$D$2:$D$333,$A22,VARIAN_STOK!$I$2:$I$333)</f>
        <v>1</v>
      </c>
      <c r="L22" s="17">
        <f>COUNTIF(VARIAN_STOK!$D$2:$D$333,$A22)</f>
        <v>1</v>
      </c>
      <c r="M22" s="9"/>
      <c r="N22" s="9" t="s">
        <v>122</v>
      </c>
      <c r="O22" s="9"/>
      <c r="P22" s="9"/>
      <c r="Q22" s="9"/>
      <c r="R22" s="9"/>
      <c r="S22" s="9"/>
      <c r="T22" s="9"/>
      <c r="U22" s="9" t="s">
        <v>39</v>
      </c>
      <c r="V22" s="9" t="s">
        <v>39</v>
      </c>
      <c r="W22" s="9" t="s">
        <v>40</v>
      </c>
      <c r="X22" s="10"/>
      <c r="Y22" s="38" t="s">
        <v>1386</v>
      </c>
      <c r="Z22" s="41">
        <v>10</v>
      </c>
      <c r="AA22" s="44">
        <v>46204</v>
      </c>
      <c r="AB22" s="43">
        <v>46234</v>
      </c>
      <c r="AC22" s="4" t="s">
        <v>1387</v>
      </c>
    </row>
    <row r="23" spans="1:29">
      <c r="A23" s="20" t="s">
        <v>126</v>
      </c>
      <c r="B23" s="9" t="s">
        <v>127</v>
      </c>
      <c r="C23" s="23">
        <v>3</v>
      </c>
      <c r="D23" s="26" t="s">
        <v>96</v>
      </c>
      <c r="E23" s="9" t="s">
        <v>128</v>
      </c>
      <c r="F23" s="9" t="s">
        <v>121</v>
      </c>
      <c r="G23" s="9" t="s">
        <v>58</v>
      </c>
      <c r="H23" s="9" t="s">
        <v>35</v>
      </c>
      <c r="I23" s="14" t="e">
        <f ca="1">_xludf.MINIFS(VARIAN_STOK!$H$2:$H$333,VARIAN_STOK!$D$2:$D$333,$A23)</f>
        <v>#NAME?</v>
      </c>
      <c r="J23" s="14" t="e">
        <f ca="1">_xludf.MAXIFS(VARIAN_STOK!$H$2:$H$333,VARIAN_STOK!$D$2:$D$333,$A23)</f>
        <v>#NAME?</v>
      </c>
      <c r="K23" s="17">
        <f>SUMIF(VARIAN_STOK!$D$2:$D$333,$A23,VARIAN_STOK!$I$2:$I$333)</f>
        <v>2</v>
      </c>
      <c r="L23" s="17">
        <f>COUNTIF(VARIAN_STOK!$D$2:$D$333,$A23)</f>
        <v>2</v>
      </c>
      <c r="M23" s="9" t="s">
        <v>129</v>
      </c>
      <c r="N23" s="9"/>
      <c r="O23" s="9"/>
      <c r="P23" s="9"/>
      <c r="Q23" s="9"/>
      <c r="R23" s="9"/>
      <c r="S23" s="9"/>
      <c r="T23" s="9"/>
      <c r="U23" s="9" t="s">
        <v>39</v>
      </c>
      <c r="V23" s="9" t="s">
        <v>39</v>
      </c>
      <c r="W23" s="9" t="s">
        <v>40</v>
      </c>
      <c r="X23" s="10"/>
      <c r="Y23" s="38" t="s">
        <v>1386</v>
      </c>
      <c r="Z23" s="41">
        <v>10</v>
      </c>
      <c r="AA23" s="44">
        <v>46204</v>
      </c>
      <c r="AB23" s="43">
        <v>46234</v>
      </c>
      <c r="AC23" s="4" t="s">
        <v>1387</v>
      </c>
    </row>
    <row r="24" spans="1:29">
      <c r="A24" s="20" t="s">
        <v>130</v>
      </c>
      <c r="B24" s="9" t="s">
        <v>131</v>
      </c>
      <c r="C24" s="23">
        <v>3</v>
      </c>
      <c r="D24" s="26" t="s">
        <v>96</v>
      </c>
      <c r="E24" s="9" t="s">
        <v>132</v>
      </c>
      <c r="F24" s="9" t="s">
        <v>133</v>
      </c>
      <c r="G24" s="9" t="s">
        <v>34</v>
      </c>
      <c r="H24" s="9" t="s">
        <v>35</v>
      </c>
      <c r="I24" s="14" t="e">
        <f ca="1">_xludf.MINIFS(VARIAN_STOK!$H$2:$H$333,VARIAN_STOK!$D$2:$D$333,$A24)</f>
        <v>#NAME?</v>
      </c>
      <c r="J24" s="14" t="e">
        <f ca="1">_xludf.MAXIFS(VARIAN_STOK!$H$2:$H$333,VARIAN_STOK!$D$2:$D$333,$A24)</f>
        <v>#NAME?</v>
      </c>
      <c r="K24" s="17">
        <f>SUMIF(VARIAN_STOK!$D$2:$D$333,$A24,VARIAN_STOK!$I$2:$I$333)</f>
        <v>5</v>
      </c>
      <c r="L24" s="17">
        <f>COUNTIF(VARIAN_STOK!$D$2:$D$333,$A24)</f>
        <v>5</v>
      </c>
      <c r="M24" s="9"/>
      <c r="N24" s="9" t="s">
        <v>134</v>
      </c>
      <c r="O24" s="9"/>
      <c r="P24" s="9"/>
      <c r="Q24" s="9"/>
      <c r="R24" s="9"/>
      <c r="S24" s="9"/>
      <c r="T24" s="9"/>
      <c r="U24" s="9" t="s">
        <v>39</v>
      </c>
      <c r="V24" s="9" t="s">
        <v>39</v>
      </c>
      <c r="W24" s="9" t="s">
        <v>40</v>
      </c>
      <c r="X24" s="10"/>
      <c r="Y24" s="38" t="s">
        <v>1386</v>
      </c>
      <c r="Z24" s="41">
        <v>10</v>
      </c>
      <c r="AA24" s="44">
        <v>46204</v>
      </c>
      <c r="AB24" s="43">
        <v>46234</v>
      </c>
      <c r="AC24" s="4" t="s">
        <v>1387</v>
      </c>
    </row>
    <row r="25" spans="1:29">
      <c r="A25" s="20" t="s">
        <v>135</v>
      </c>
      <c r="B25" s="9" t="s">
        <v>136</v>
      </c>
      <c r="C25" s="23">
        <v>3</v>
      </c>
      <c r="D25" s="26" t="s">
        <v>96</v>
      </c>
      <c r="E25" s="9" t="s">
        <v>137</v>
      </c>
      <c r="F25" s="9" t="s">
        <v>133</v>
      </c>
      <c r="G25" s="9" t="s">
        <v>34</v>
      </c>
      <c r="H25" s="9" t="s">
        <v>35</v>
      </c>
      <c r="I25" s="14" t="e">
        <f ca="1">_xludf.MINIFS(VARIAN_STOK!$H$2:$H$333,VARIAN_STOK!$D$2:$D$333,$A25)</f>
        <v>#NAME?</v>
      </c>
      <c r="J25" s="14" t="e">
        <f ca="1">_xludf.MAXIFS(VARIAN_STOK!$H$2:$H$333,VARIAN_STOK!$D$2:$D$333,$A25)</f>
        <v>#NAME?</v>
      </c>
      <c r="K25" s="17">
        <f>SUMIF(VARIAN_STOK!$D$2:$D$333,$A25,VARIAN_STOK!$I$2:$I$333)</f>
        <v>2</v>
      </c>
      <c r="L25" s="17">
        <f>COUNTIF(VARIAN_STOK!$D$2:$D$333,$A25)</f>
        <v>1</v>
      </c>
      <c r="M25" s="9"/>
      <c r="N25" s="9" t="s">
        <v>138</v>
      </c>
      <c r="O25" s="9"/>
      <c r="P25" s="9"/>
      <c r="Q25" s="9"/>
      <c r="R25" s="9"/>
      <c r="S25" s="9"/>
      <c r="T25" s="9"/>
      <c r="U25" s="9" t="s">
        <v>39</v>
      </c>
      <c r="V25" s="9" t="s">
        <v>39</v>
      </c>
      <c r="W25" s="9" t="s">
        <v>40</v>
      </c>
      <c r="X25" s="10"/>
      <c r="Y25" s="38" t="s">
        <v>1386</v>
      </c>
      <c r="Z25" s="41">
        <v>10</v>
      </c>
      <c r="AA25" s="44">
        <v>46204</v>
      </c>
      <c r="AB25" s="43">
        <v>46234</v>
      </c>
      <c r="AC25" s="4" t="s">
        <v>1387</v>
      </c>
    </row>
    <row r="26" spans="1:29">
      <c r="A26" s="20" t="s">
        <v>139</v>
      </c>
      <c r="B26" s="9" t="s">
        <v>140</v>
      </c>
      <c r="C26" s="23">
        <v>3</v>
      </c>
      <c r="D26" s="26" t="s">
        <v>96</v>
      </c>
      <c r="E26" s="9" t="s">
        <v>141</v>
      </c>
      <c r="F26" s="9" t="s">
        <v>133</v>
      </c>
      <c r="G26" s="9" t="s">
        <v>34</v>
      </c>
      <c r="H26" s="9" t="s">
        <v>35</v>
      </c>
      <c r="I26" s="14" t="e">
        <f ca="1">_xludf.MINIFS(VARIAN_STOK!$H$2:$H$333,VARIAN_STOK!$D$2:$D$333,$A26)</f>
        <v>#NAME?</v>
      </c>
      <c r="J26" s="14" t="e">
        <f ca="1">_xludf.MAXIFS(VARIAN_STOK!$H$2:$H$333,VARIAN_STOK!$D$2:$D$333,$A26)</f>
        <v>#NAME?</v>
      </c>
      <c r="K26" s="17">
        <f>SUMIF(VARIAN_STOK!$D$2:$D$333,$A26,VARIAN_STOK!$I$2:$I$333)</f>
        <v>1</v>
      </c>
      <c r="L26" s="17">
        <f>COUNTIF(VARIAN_STOK!$D$2:$D$333,$A26)</f>
        <v>1</v>
      </c>
      <c r="M26" s="9" t="s">
        <v>142</v>
      </c>
      <c r="N26" s="9" t="s">
        <v>143</v>
      </c>
      <c r="O26" s="9"/>
      <c r="P26" s="9"/>
      <c r="Q26" s="9"/>
      <c r="R26" s="9"/>
      <c r="S26" s="9"/>
      <c r="T26" s="9"/>
      <c r="U26" s="9" t="s">
        <v>39</v>
      </c>
      <c r="V26" s="9" t="s">
        <v>39</v>
      </c>
      <c r="W26" s="9" t="s">
        <v>40</v>
      </c>
      <c r="X26" s="10"/>
      <c r="Y26" s="38" t="s">
        <v>1386</v>
      </c>
      <c r="Z26" s="41">
        <v>10</v>
      </c>
      <c r="AA26" s="44">
        <v>46204</v>
      </c>
      <c r="AB26" s="43">
        <v>46234</v>
      </c>
      <c r="AC26" s="4" t="s">
        <v>1387</v>
      </c>
    </row>
    <row r="27" spans="1:29">
      <c r="A27" s="20" t="s">
        <v>144</v>
      </c>
      <c r="B27" s="9" t="s">
        <v>145</v>
      </c>
      <c r="C27" s="23">
        <v>3</v>
      </c>
      <c r="D27" s="26" t="s">
        <v>96</v>
      </c>
      <c r="E27" s="9" t="s">
        <v>146</v>
      </c>
      <c r="F27" s="9" t="s">
        <v>133</v>
      </c>
      <c r="G27" s="9" t="s">
        <v>34</v>
      </c>
      <c r="H27" s="9" t="s">
        <v>35</v>
      </c>
      <c r="I27" s="14" t="e">
        <f ca="1">_xludf.MINIFS(VARIAN_STOK!$H$2:$H$333,VARIAN_STOK!$D$2:$D$333,$A27)</f>
        <v>#NAME?</v>
      </c>
      <c r="J27" s="14" t="e">
        <f ca="1">_xludf.MAXIFS(VARIAN_STOK!$H$2:$H$333,VARIAN_STOK!$D$2:$D$333,$A27)</f>
        <v>#NAME?</v>
      </c>
      <c r="K27" s="17">
        <f>SUMIF(VARIAN_STOK!$D$2:$D$333,$A27,VARIAN_STOK!$I$2:$I$333)</f>
        <v>1</v>
      </c>
      <c r="L27" s="17">
        <f>COUNTIF(VARIAN_STOK!$D$2:$D$333,$A27)</f>
        <v>1</v>
      </c>
      <c r="M27" s="9"/>
      <c r="N27" s="9" t="s">
        <v>147</v>
      </c>
      <c r="O27" s="9"/>
      <c r="P27" s="9"/>
      <c r="Q27" s="9"/>
      <c r="R27" s="9"/>
      <c r="S27" s="9"/>
      <c r="T27" s="9"/>
      <c r="U27" s="9" t="s">
        <v>39</v>
      </c>
      <c r="V27" s="9" t="s">
        <v>39</v>
      </c>
      <c r="W27" s="9" t="s">
        <v>40</v>
      </c>
      <c r="X27" s="10"/>
      <c r="Y27" s="38" t="s">
        <v>1386</v>
      </c>
      <c r="Z27" s="41">
        <v>10</v>
      </c>
      <c r="AA27" s="44">
        <v>46204</v>
      </c>
      <c r="AB27" s="43">
        <v>46234</v>
      </c>
      <c r="AC27" s="4" t="s">
        <v>1387</v>
      </c>
    </row>
    <row r="28" spans="1:29">
      <c r="A28" s="20" t="s">
        <v>148</v>
      </c>
      <c r="B28" s="9" t="s">
        <v>149</v>
      </c>
      <c r="C28" s="23">
        <v>3</v>
      </c>
      <c r="D28" s="26" t="s">
        <v>96</v>
      </c>
      <c r="E28" s="9" t="s">
        <v>150</v>
      </c>
      <c r="F28" s="9" t="s">
        <v>48</v>
      </c>
      <c r="G28" s="9" t="s">
        <v>58</v>
      </c>
      <c r="H28" s="9" t="s">
        <v>35</v>
      </c>
      <c r="I28" s="14" t="e">
        <f ca="1">_xludf.MINIFS(VARIAN_STOK!$H$2:$H$333,VARIAN_STOK!$D$2:$D$333,$A28)</f>
        <v>#NAME?</v>
      </c>
      <c r="J28" s="14" t="e">
        <f ca="1">_xludf.MAXIFS(VARIAN_STOK!$H$2:$H$333,VARIAN_STOK!$D$2:$D$333,$A28)</f>
        <v>#NAME?</v>
      </c>
      <c r="K28" s="17">
        <f>SUMIF(VARIAN_STOK!$D$2:$D$333,$A28,VARIAN_STOK!$I$2:$I$333)</f>
        <v>1</v>
      </c>
      <c r="L28" s="17">
        <f>COUNTIF(VARIAN_STOK!$D$2:$D$333,$A28)</f>
        <v>1</v>
      </c>
      <c r="M28" s="9"/>
      <c r="N28" s="9" t="s">
        <v>77</v>
      </c>
      <c r="O28" s="9"/>
      <c r="P28" s="9"/>
      <c r="Q28" s="9"/>
      <c r="R28" s="9"/>
      <c r="S28" s="9"/>
      <c r="T28" s="9"/>
      <c r="U28" s="9" t="s">
        <v>39</v>
      </c>
      <c r="V28" s="9" t="s">
        <v>39</v>
      </c>
      <c r="W28" s="9" t="s">
        <v>40</v>
      </c>
      <c r="X28" s="10"/>
      <c r="Y28" s="38" t="s">
        <v>1386</v>
      </c>
      <c r="Z28" s="41">
        <v>10</v>
      </c>
      <c r="AA28" s="44">
        <v>46204</v>
      </c>
      <c r="AB28" s="43">
        <v>46234</v>
      </c>
      <c r="AC28" s="4" t="s">
        <v>1387</v>
      </c>
    </row>
    <row r="29" spans="1:29">
      <c r="A29" s="20" t="s">
        <v>151</v>
      </c>
      <c r="B29" s="9" t="s">
        <v>152</v>
      </c>
      <c r="C29" s="23">
        <v>3</v>
      </c>
      <c r="D29" s="26" t="s">
        <v>96</v>
      </c>
      <c r="E29" s="9" t="s">
        <v>153</v>
      </c>
      <c r="F29" s="9" t="s">
        <v>48</v>
      </c>
      <c r="G29" s="9" t="s">
        <v>34</v>
      </c>
      <c r="H29" s="9" t="s">
        <v>35</v>
      </c>
      <c r="I29" s="14" t="e">
        <f ca="1">_xludf.MINIFS(VARIAN_STOK!$H$2:$H$333,VARIAN_STOK!$D$2:$D$333,$A29)</f>
        <v>#NAME?</v>
      </c>
      <c r="J29" s="14" t="e">
        <f ca="1">_xludf.MAXIFS(VARIAN_STOK!$H$2:$H$333,VARIAN_STOK!$D$2:$D$333,$A29)</f>
        <v>#NAME?</v>
      </c>
      <c r="K29" s="17">
        <f>SUMIF(VARIAN_STOK!$D$2:$D$333,$A29,VARIAN_STOK!$I$2:$I$333)</f>
        <v>10</v>
      </c>
      <c r="L29" s="17">
        <f>COUNTIF(VARIAN_STOK!$D$2:$D$333,$A29)</f>
        <v>7</v>
      </c>
      <c r="M29" s="9" t="s">
        <v>154</v>
      </c>
      <c r="N29" s="9" t="s">
        <v>155</v>
      </c>
      <c r="O29" s="9"/>
      <c r="P29" s="9"/>
      <c r="Q29" s="9"/>
      <c r="R29" s="9"/>
      <c r="S29" s="9"/>
      <c r="T29" s="9"/>
      <c r="U29" s="9" t="s">
        <v>39</v>
      </c>
      <c r="V29" s="9" t="s">
        <v>39</v>
      </c>
      <c r="W29" s="9" t="s">
        <v>40</v>
      </c>
      <c r="X29" s="10"/>
      <c r="Y29" s="38" t="s">
        <v>1386</v>
      </c>
      <c r="Z29" s="41">
        <v>10</v>
      </c>
      <c r="AA29" s="44">
        <v>46204</v>
      </c>
      <c r="AB29" s="43">
        <v>46234</v>
      </c>
      <c r="AC29" s="4" t="s">
        <v>1387</v>
      </c>
    </row>
    <row r="30" spans="1:29">
      <c r="A30" s="20" t="s">
        <v>156</v>
      </c>
      <c r="B30" s="9" t="s">
        <v>157</v>
      </c>
      <c r="C30" s="23">
        <v>3</v>
      </c>
      <c r="D30" s="26" t="s">
        <v>96</v>
      </c>
      <c r="E30" s="9" t="s">
        <v>158</v>
      </c>
      <c r="F30" s="9" t="s">
        <v>48</v>
      </c>
      <c r="G30" s="9" t="s">
        <v>58</v>
      </c>
      <c r="H30" s="9" t="s">
        <v>35</v>
      </c>
      <c r="I30" s="14" t="e">
        <f ca="1">_xludf.MINIFS(VARIAN_STOK!$H$2:$H$333,VARIAN_STOK!$D$2:$D$333,$A30)</f>
        <v>#NAME?</v>
      </c>
      <c r="J30" s="14" t="e">
        <f ca="1">_xludf.MAXIFS(VARIAN_STOK!$H$2:$H$333,VARIAN_STOK!$D$2:$D$333,$A30)</f>
        <v>#NAME?</v>
      </c>
      <c r="K30" s="17">
        <f>SUMIF(VARIAN_STOK!$D$2:$D$333,$A30,VARIAN_STOK!$I$2:$I$333)</f>
        <v>2</v>
      </c>
      <c r="L30" s="17">
        <f>COUNTIF(VARIAN_STOK!$D$2:$D$333,$A30)</f>
        <v>1</v>
      </c>
      <c r="M30" s="9"/>
      <c r="N30" s="9" t="s">
        <v>159</v>
      </c>
      <c r="O30" s="9"/>
      <c r="P30" s="9"/>
      <c r="Q30" s="9"/>
      <c r="R30" s="9"/>
      <c r="S30" s="9"/>
      <c r="T30" s="9"/>
      <c r="U30" s="9" t="s">
        <v>39</v>
      </c>
      <c r="V30" s="9" t="s">
        <v>39</v>
      </c>
      <c r="W30" s="9" t="s">
        <v>40</v>
      </c>
      <c r="X30" s="10"/>
      <c r="Y30" s="38" t="s">
        <v>1386</v>
      </c>
      <c r="Z30" s="41">
        <v>10</v>
      </c>
      <c r="AA30" s="44">
        <v>46204</v>
      </c>
      <c r="AB30" s="43">
        <v>46234</v>
      </c>
      <c r="AC30" s="4" t="s">
        <v>1387</v>
      </c>
    </row>
    <row r="31" spans="1:29">
      <c r="A31" s="20" t="s">
        <v>160</v>
      </c>
      <c r="B31" s="9" t="s">
        <v>161</v>
      </c>
      <c r="C31" s="23">
        <v>3</v>
      </c>
      <c r="D31" s="26" t="s">
        <v>96</v>
      </c>
      <c r="E31" s="9" t="s">
        <v>162</v>
      </c>
      <c r="F31" s="9" t="s">
        <v>48</v>
      </c>
      <c r="G31" s="9" t="s">
        <v>58</v>
      </c>
      <c r="H31" s="9" t="s">
        <v>35</v>
      </c>
      <c r="I31" s="14" t="e">
        <f ca="1">_xludf.MINIFS(VARIAN_STOK!$H$2:$H$333,VARIAN_STOK!$D$2:$D$333,$A31)</f>
        <v>#NAME?</v>
      </c>
      <c r="J31" s="14" t="e">
        <f ca="1">_xludf.MAXIFS(VARIAN_STOK!$H$2:$H$333,VARIAN_STOK!$D$2:$D$333,$A31)</f>
        <v>#NAME?</v>
      </c>
      <c r="K31" s="17">
        <f>SUMIF(VARIAN_STOK!$D$2:$D$333,$A31,VARIAN_STOK!$I$2:$I$333)</f>
        <v>1</v>
      </c>
      <c r="L31" s="17">
        <f>COUNTIF(VARIAN_STOK!$D$2:$D$333,$A31)</f>
        <v>1</v>
      </c>
      <c r="M31" s="9" t="s">
        <v>163</v>
      </c>
      <c r="N31" s="9" t="s">
        <v>77</v>
      </c>
      <c r="O31" s="9"/>
      <c r="P31" s="9"/>
      <c r="Q31" s="9"/>
      <c r="R31" s="9"/>
      <c r="S31" s="9"/>
      <c r="T31" s="9"/>
      <c r="U31" s="9" t="s">
        <v>39</v>
      </c>
      <c r="V31" s="9" t="s">
        <v>39</v>
      </c>
      <c r="W31" s="9" t="s">
        <v>40</v>
      </c>
      <c r="X31" s="10"/>
      <c r="Y31" s="38" t="s">
        <v>1386</v>
      </c>
      <c r="Z31" s="41">
        <v>10</v>
      </c>
      <c r="AA31" s="44">
        <v>46204</v>
      </c>
      <c r="AB31" s="43">
        <v>46234</v>
      </c>
      <c r="AC31" s="4" t="s">
        <v>1387</v>
      </c>
    </row>
    <row r="32" spans="1:29">
      <c r="A32" s="20" t="s">
        <v>164</v>
      </c>
      <c r="B32" s="9" t="s">
        <v>165</v>
      </c>
      <c r="C32" s="23">
        <v>3</v>
      </c>
      <c r="D32" s="26" t="s">
        <v>96</v>
      </c>
      <c r="E32" s="9" t="s">
        <v>166</v>
      </c>
      <c r="F32" s="9" t="s">
        <v>48</v>
      </c>
      <c r="G32" s="9" t="s">
        <v>58</v>
      </c>
      <c r="H32" s="9" t="s">
        <v>35</v>
      </c>
      <c r="I32" s="14" t="e">
        <f ca="1">_xludf.MINIFS(VARIAN_STOK!$H$2:$H$333,VARIAN_STOK!$D$2:$D$333,$A32)</f>
        <v>#NAME?</v>
      </c>
      <c r="J32" s="14" t="e">
        <f ca="1">_xludf.MAXIFS(VARIAN_STOK!$H$2:$H$333,VARIAN_STOK!$D$2:$D$333,$A32)</f>
        <v>#NAME?</v>
      </c>
      <c r="K32" s="17">
        <f>SUMIF(VARIAN_STOK!$D$2:$D$333,$A32,VARIAN_STOK!$I$2:$I$333)</f>
        <v>1</v>
      </c>
      <c r="L32" s="17">
        <f>COUNTIF(VARIAN_STOK!$D$2:$D$333,$A32)</f>
        <v>1</v>
      </c>
      <c r="M32" s="9"/>
      <c r="N32" s="9" t="s">
        <v>77</v>
      </c>
      <c r="O32" s="9"/>
      <c r="P32" s="9"/>
      <c r="Q32" s="9"/>
      <c r="R32" s="9"/>
      <c r="S32" s="9"/>
      <c r="T32" s="9"/>
      <c r="U32" s="9" t="s">
        <v>39</v>
      </c>
      <c r="V32" s="9" t="s">
        <v>39</v>
      </c>
      <c r="W32" s="9" t="s">
        <v>40</v>
      </c>
      <c r="X32" s="10"/>
      <c r="Y32" s="38" t="s">
        <v>1386</v>
      </c>
      <c r="Z32" s="41">
        <v>10</v>
      </c>
      <c r="AA32" s="44">
        <v>46204</v>
      </c>
      <c r="AB32" s="43">
        <v>46234</v>
      </c>
      <c r="AC32" s="4" t="s">
        <v>1387</v>
      </c>
    </row>
    <row r="33" spans="1:29">
      <c r="A33" s="20" t="s">
        <v>167</v>
      </c>
      <c r="B33" s="9" t="s">
        <v>168</v>
      </c>
      <c r="C33" s="23">
        <v>3</v>
      </c>
      <c r="D33" s="26" t="s">
        <v>96</v>
      </c>
      <c r="E33" s="9" t="s">
        <v>169</v>
      </c>
      <c r="F33" s="9" t="s">
        <v>48</v>
      </c>
      <c r="G33" s="9" t="s">
        <v>58</v>
      </c>
      <c r="H33" s="9" t="s">
        <v>35</v>
      </c>
      <c r="I33" s="14" t="e">
        <f ca="1">_xludf.MINIFS(VARIAN_STOK!$H$2:$H$333,VARIAN_STOK!$D$2:$D$333,$A33)</f>
        <v>#NAME?</v>
      </c>
      <c r="J33" s="14" t="e">
        <f ca="1">_xludf.MAXIFS(VARIAN_STOK!$H$2:$H$333,VARIAN_STOK!$D$2:$D$333,$A33)</f>
        <v>#NAME?</v>
      </c>
      <c r="K33" s="17">
        <f>SUMIF(VARIAN_STOK!$D$2:$D$333,$A33,VARIAN_STOK!$I$2:$I$333)</f>
        <v>1</v>
      </c>
      <c r="L33" s="17">
        <f>COUNTIF(VARIAN_STOK!$D$2:$D$333,$A33)</f>
        <v>1</v>
      </c>
      <c r="M33" s="9"/>
      <c r="N33" s="9" t="s">
        <v>170</v>
      </c>
      <c r="O33" s="9"/>
      <c r="P33" s="9"/>
      <c r="Q33" s="9"/>
      <c r="R33" s="9"/>
      <c r="S33" s="9"/>
      <c r="T33" s="9"/>
      <c r="U33" s="9" t="s">
        <v>39</v>
      </c>
      <c r="V33" s="9" t="s">
        <v>39</v>
      </c>
      <c r="W33" s="9" t="s">
        <v>40</v>
      </c>
      <c r="X33" s="10"/>
      <c r="Y33" s="38" t="s">
        <v>1386</v>
      </c>
      <c r="Z33" s="41">
        <v>10</v>
      </c>
      <c r="AA33" s="44">
        <v>46204</v>
      </c>
      <c r="AB33" s="43">
        <v>46234</v>
      </c>
      <c r="AC33" s="4" t="s">
        <v>1387</v>
      </c>
    </row>
    <row r="34" spans="1:29" ht="28">
      <c r="A34" s="20" t="s">
        <v>171</v>
      </c>
      <c r="B34" s="9" t="s">
        <v>172</v>
      </c>
      <c r="C34" s="23">
        <v>3</v>
      </c>
      <c r="D34" s="26" t="s">
        <v>96</v>
      </c>
      <c r="E34" s="9" t="s">
        <v>173</v>
      </c>
      <c r="F34" s="9" t="s">
        <v>48</v>
      </c>
      <c r="G34" s="9" t="s">
        <v>58</v>
      </c>
      <c r="H34" s="9" t="s">
        <v>35</v>
      </c>
      <c r="I34" s="14" t="e">
        <f ca="1">_xludf.MINIFS(VARIAN_STOK!$H$2:$H$333,VARIAN_STOK!$D$2:$D$333,$A34)</f>
        <v>#NAME?</v>
      </c>
      <c r="J34" s="14" t="e">
        <f ca="1">_xludf.MAXIFS(VARIAN_STOK!$H$2:$H$333,VARIAN_STOK!$D$2:$D$333,$A34)</f>
        <v>#NAME?</v>
      </c>
      <c r="K34" s="17">
        <f>SUMIF(VARIAN_STOK!$D$2:$D$333,$A34,VARIAN_STOK!$I$2:$I$333)</f>
        <v>3</v>
      </c>
      <c r="L34" s="17">
        <f>COUNTIF(VARIAN_STOK!$D$2:$D$333,$A34)</f>
        <v>2</v>
      </c>
      <c r="M34" s="9"/>
      <c r="N34" s="9" t="s">
        <v>68</v>
      </c>
      <c r="O34" s="9"/>
      <c r="P34" s="9"/>
      <c r="Q34" s="9"/>
      <c r="R34" s="9"/>
      <c r="S34" s="9"/>
      <c r="T34" s="9"/>
      <c r="U34" s="9" t="s">
        <v>39</v>
      </c>
      <c r="V34" s="9" t="s">
        <v>39</v>
      </c>
      <c r="W34" s="9" t="s">
        <v>40</v>
      </c>
      <c r="X34" s="10"/>
      <c r="Y34" s="38" t="s">
        <v>1386</v>
      </c>
      <c r="Z34" s="41">
        <v>10</v>
      </c>
      <c r="AA34" s="44">
        <v>46204</v>
      </c>
      <c r="AB34" s="43">
        <v>46234</v>
      </c>
      <c r="AC34" s="4" t="s">
        <v>1387</v>
      </c>
    </row>
    <row r="35" spans="1:29">
      <c r="A35" s="20" t="s">
        <v>174</v>
      </c>
      <c r="B35" s="9" t="s">
        <v>175</v>
      </c>
      <c r="C35" s="23">
        <v>3</v>
      </c>
      <c r="D35" s="26" t="s">
        <v>96</v>
      </c>
      <c r="E35" s="9" t="s">
        <v>176</v>
      </c>
      <c r="F35" s="9" t="s">
        <v>48</v>
      </c>
      <c r="G35" s="9" t="s">
        <v>58</v>
      </c>
      <c r="H35" s="9" t="s">
        <v>35</v>
      </c>
      <c r="I35" s="14" t="e">
        <f ca="1">_xludf.MINIFS(VARIAN_STOK!$H$2:$H$333,VARIAN_STOK!$D$2:$D$333,$A35)</f>
        <v>#NAME?</v>
      </c>
      <c r="J35" s="14" t="e">
        <f ca="1">_xludf.MAXIFS(VARIAN_STOK!$H$2:$H$333,VARIAN_STOK!$D$2:$D$333,$A35)</f>
        <v>#NAME?</v>
      </c>
      <c r="K35" s="17">
        <f>SUMIF(VARIAN_STOK!$D$2:$D$333,$A35,VARIAN_STOK!$I$2:$I$333)</f>
        <v>1</v>
      </c>
      <c r="L35" s="17">
        <f>COUNTIF(VARIAN_STOK!$D$2:$D$333,$A35)</f>
        <v>1</v>
      </c>
      <c r="M35" s="9"/>
      <c r="N35" s="9" t="s">
        <v>177</v>
      </c>
      <c r="O35" s="9"/>
      <c r="P35" s="9"/>
      <c r="Q35" s="9"/>
      <c r="R35" s="9"/>
      <c r="S35" s="9"/>
      <c r="T35" s="9"/>
      <c r="U35" s="9" t="s">
        <v>39</v>
      </c>
      <c r="V35" s="9" t="s">
        <v>39</v>
      </c>
      <c r="W35" s="9" t="s">
        <v>40</v>
      </c>
      <c r="X35" s="10"/>
      <c r="Y35" s="38" t="s">
        <v>1386</v>
      </c>
      <c r="Z35" s="41">
        <v>10</v>
      </c>
      <c r="AA35" s="44">
        <v>46204</v>
      </c>
      <c r="AB35" s="43">
        <v>46234</v>
      </c>
      <c r="AC35" s="4" t="s">
        <v>1387</v>
      </c>
    </row>
    <row r="36" spans="1:29">
      <c r="A36" s="20" t="s">
        <v>178</v>
      </c>
      <c r="B36" s="9" t="s">
        <v>179</v>
      </c>
      <c r="C36" s="23">
        <v>3</v>
      </c>
      <c r="D36" s="26" t="s">
        <v>96</v>
      </c>
      <c r="E36" s="9" t="s">
        <v>180</v>
      </c>
      <c r="F36" s="9" t="s">
        <v>48</v>
      </c>
      <c r="G36" s="9" t="s">
        <v>34</v>
      </c>
      <c r="H36" s="9" t="s">
        <v>35</v>
      </c>
      <c r="I36" s="14" t="e">
        <f ca="1">_xludf.MINIFS(VARIAN_STOK!$H$2:$H$333,VARIAN_STOK!$D$2:$D$333,$A36)</f>
        <v>#NAME?</v>
      </c>
      <c r="J36" s="14" t="e">
        <f ca="1">_xludf.MAXIFS(VARIAN_STOK!$H$2:$H$333,VARIAN_STOK!$D$2:$D$333,$A36)</f>
        <v>#NAME?</v>
      </c>
      <c r="K36" s="17">
        <f>SUMIF(VARIAN_STOK!$D$2:$D$333,$A36,VARIAN_STOK!$I$2:$I$333)</f>
        <v>6</v>
      </c>
      <c r="L36" s="17">
        <f>COUNTIF(VARIAN_STOK!$D$2:$D$333,$A36)</f>
        <v>5</v>
      </c>
      <c r="M36" s="9"/>
      <c r="N36" s="9" t="s">
        <v>134</v>
      </c>
      <c r="O36" s="9"/>
      <c r="P36" s="9"/>
      <c r="Q36" s="9"/>
      <c r="R36" s="9"/>
      <c r="S36" s="9"/>
      <c r="T36" s="9"/>
      <c r="U36" s="9" t="s">
        <v>39</v>
      </c>
      <c r="V36" s="9" t="s">
        <v>39</v>
      </c>
      <c r="W36" s="9" t="s">
        <v>40</v>
      </c>
      <c r="X36" s="10"/>
      <c r="Y36" s="38" t="s">
        <v>1386</v>
      </c>
      <c r="Z36" s="41">
        <v>10</v>
      </c>
      <c r="AA36" s="44">
        <v>46204</v>
      </c>
      <c r="AB36" s="43">
        <v>46234</v>
      </c>
      <c r="AC36" s="4" t="s">
        <v>1387</v>
      </c>
    </row>
    <row r="37" spans="1:29">
      <c r="A37" s="20" t="s">
        <v>181</v>
      </c>
      <c r="B37" s="9" t="s">
        <v>182</v>
      </c>
      <c r="C37" s="23">
        <v>3</v>
      </c>
      <c r="D37" s="26" t="s">
        <v>96</v>
      </c>
      <c r="E37" s="9" t="s">
        <v>183</v>
      </c>
      <c r="F37" s="9" t="s">
        <v>48</v>
      </c>
      <c r="G37" s="9" t="s">
        <v>34</v>
      </c>
      <c r="H37" s="9" t="s">
        <v>35</v>
      </c>
      <c r="I37" s="14" t="e">
        <f ca="1">_xludf.MINIFS(VARIAN_STOK!$H$2:$H$333,VARIAN_STOK!$D$2:$D$333,$A37)</f>
        <v>#NAME?</v>
      </c>
      <c r="J37" s="14" t="e">
        <f ca="1">_xludf.MAXIFS(VARIAN_STOK!$H$2:$H$333,VARIAN_STOK!$D$2:$D$333,$A37)</f>
        <v>#NAME?</v>
      </c>
      <c r="K37" s="17">
        <f>SUMIF(VARIAN_STOK!$D$2:$D$333,$A37,VARIAN_STOK!$I$2:$I$333)</f>
        <v>3</v>
      </c>
      <c r="L37" s="17">
        <f>COUNTIF(VARIAN_STOK!$D$2:$D$333,$A37)</f>
        <v>2</v>
      </c>
      <c r="M37" s="9"/>
      <c r="N37" s="9" t="s">
        <v>184</v>
      </c>
      <c r="O37" s="9"/>
      <c r="P37" s="9"/>
      <c r="Q37" s="9"/>
      <c r="R37" s="9"/>
      <c r="S37" s="9"/>
      <c r="T37" s="9"/>
      <c r="U37" s="9" t="s">
        <v>39</v>
      </c>
      <c r="V37" s="9" t="s">
        <v>39</v>
      </c>
      <c r="W37" s="9" t="s">
        <v>40</v>
      </c>
      <c r="X37" s="10"/>
      <c r="Y37" s="38" t="s">
        <v>1386</v>
      </c>
      <c r="Z37" s="41">
        <v>10</v>
      </c>
      <c r="AA37" s="44">
        <v>46204</v>
      </c>
      <c r="AB37" s="43">
        <v>46234</v>
      </c>
      <c r="AC37" s="4" t="s">
        <v>1387</v>
      </c>
    </row>
    <row r="38" spans="1:29">
      <c r="A38" s="20" t="s">
        <v>185</v>
      </c>
      <c r="B38" s="9" t="s">
        <v>186</v>
      </c>
      <c r="C38" s="23">
        <v>3</v>
      </c>
      <c r="D38" s="26" t="s">
        <v>96</v>
      </c>
      <c r="E38" s="9" t="s">
        <v>187</v>
      </c>
      <c r="F38" s="9" t="s">
        <v>48</v>
      </c>
      <c r="G38" s="9" t="s">
        <v>58</v>
      </c>
      <c r="H38" s="9" t="s">
        <v>35</v>
      </c>
      <c r="I38" s="14" t="e">
        <f ca="1">_xludf.MINIFS(VARIAN_STOK!$H$2:$H$333,VARIAN_STOK!$D$2:$D$333,$A38)</f>
        <v>#NAME?</v>
      </c>
      <c r="J38" s="14" t="e">
        <f ca="1">_xludf.MAXIFS(VARIAN_STOK!$H$2:$H$333,VARIAN_STOK!$D$2:$D$333,$A38)</f>
        <v>#NAME?</v>
      </c>
      <c r="K38" s="17">
        <f>SUMIF(VARIAN_STOK!$D$2:$D$333,$A38,VARIAN_STOK!$I$2:$I$333)</f>
        <v>2</v>
      </c>
      <c r="L38" s="17">
        <f>COUNTIF(VARIAN_STOK!$D$2:$D$333,$A38)</f>
        <v>1</v>
      </c>
      <c r="M38" s="9" t="s">
        <v>188</v>
      </c>
      <c r="N38" s="9" t="s">
        <v>77</v>
      </c>
      <c r="O38" s="9"/>
      <c r="P38" s="9"/>
      <c r="Q38" s="9"/>
      <c r="R38" s="9"/>
      <c r="S38" s="9"/>
      <c r="T38" s="9"/>
      <c r="U38" s="9" t="s">
        <v>39</v>
      </c>
      <c r="V38" s="9" t="s">
        <v>39</v>
      </c>
      <c r="W38" s="9" t="s">
        <v>40</v>
      </c>
      <c r="X38" s="10"/>
      <c r="Y38" s="38" t="s">
        <v>1386</v>
      </c>
      <c r="Z38" s="41">
        <v>10</v>
      </c>
      <c r="AA38" s="44">
        <v>46204</v>
      </c>
      <c r="AB38" s="43">
        <v>46234</v>
      </c>
      <c r="AC38" s="4" t="s">
        <v>1387</v>
      </c>
    </row>
    <row r="39" spans="1:29">
      <c r="A39" s="20" t="s">
        <v>189</v>
      </c>
      <c r="B39" s="9" t="s">
        <v>190</v>
      </c>
      <c r="C39" s="23">
        <v>3</v>
      </c>
      <c r="D39" s="26" t="s">
        <v>96</v>
      </c>
      <c r="E39" s="9" t="s">
        <v>191</v>
      </c>
      <c r="F39" s="9" t="s">
        <v>48</v>
      </c>
      <c r="G39" s="9" t="s">
        <v>58</v>
      </c>
      <c r="H39" s="9" t="s">
        <v>35</v>
      </c>
      <c r="I39" s="14" t="e">
        <f ca="1">_xludf.MINIFS(VARIAN_STOK!$H$2:$H$333,VARIAN_STOK!$D$2:$D$333,$A39)</f>
        <v>#NAME?</v>
      </c>
      <c r="J39" s="14" t="e">
        <f ca="1">_xludf.MAXIFS(VARIAN_STOK!$H$2:$H$333,VARIAN_STOK!$D$2:$D$333,$A39)</f>
        <v>#NAME?</v>
      </c>
      <c r="K39" s="17">
        <f>SUMIF(VARIAN_STOK!$D$2:$D$333,$A39,VARIAN_STOK!$I$2:$I$333)</f>
        <v>4</v>
      </c>
      <c r="L39" s="17">
        <f>COUNTIF(VARIAN_STOK!$D$2:$D$333,$A39)</f>
        <v>2</v>
      </c>
      <c r="M39" s="9"/>
      <c r="N39" s="9" t="s">
        <v>68</v>
      </c>
      <c r="O39" s="9"/>
      <c r="P39" s="9"/>
      <c r="Q39" s="9"/>
      <c r="R39" s="9"/>
      <c r="S39" s="9"/>
      <c r="T39" s="9"/>
      <c r="U39" s="9" t="s">
        <v>39</v>
      </c>
      <c r="V39" s="9" t="s">
        <v>39</v>
      </c>
      <c r="W39" s="9" t="s">
        <v>40</v>
      </c>
      <c r="X39" s="10"/>
      <c r="Y39" s="38" t="s">
        <v>1386</v>
      </c>
      <c r="Z39" s="41">
        <v>10</v>
      </c>
      <c r="AA39" s="44">
        <v>46204</v>
      </c>
      <c r="AB39" s="43">
        <v>46234</v>
      </c>
      <c r="AC39" s="4" t="s">
        <v>1387</v>
      </c>
    </row>
    <row r="40" spans="1:29">
      <c r="A40" s="20" t="s">
        <v>192</v>
      </c>
      <c r="B40" s="9" t="s">
        <v>193</v>
      </c>
      <c r="C40" s="23">
        <v>3</v>
      </c>
      <c r="D40" s="26" t="s">
        <v>96</v>
      </c>
      <c r="E40" s="9" t="s">
        <v>194</v>
      </c>
      <c r="F40" s="9" t="s">
        <v>48</v>
      </c>
      <c r="G40" s="9" t="s">
        <v>34</v>
      </c>
      <c r="H40" s="9" t="s">
        <v>35</v>
      </c>
      <c r="I40" s="14" t="e">
        <f ca="1">_xludf.MINIFS(VARIAN_STOK!$H$2:$H$333,VARIAN_STOK!$D$2:$D$333,$A40)</f>
        <v>#NAME?</v>
      </c>
      <c r="J40" s="14" t="e">
        <f ca="1">_xludf.MAXIFS(VARIAN_STOK!$H$2:$H$333,VARIAN_STOK!$D$2:$D$333,$A40)</f>
        <v>#NAME?</v>
      </c>
      <c r="K40" s="17">
        <f>SUMIF(VARIAN_STOK!$D$2:$D$333,$A40,VARIAN_STOK!$I$2:$I$333)</f>
        <v>6</v>
      </c>
      <c r="L40" s="17">
        <f>COUNTIF(VARIAN_STOK!$D$2:$D$333,$A40)</f>
        <v>5</v>
      </c>
      <c r="M40" s="9"/>
      <c r="N40" s="9" t="s">
        <v>195</v>
      </c>
      <c r="O40" s="9"/>
      <c r="P40" s="9"/>
      <c r="Q40" s="9"/>
      <c r="R40" s="9"/>
      <c r="S40" s="9"/>
      <c r="T40" s="9"/>
      <c r="U40" s="9" t="s">
        <v>39</v>
      </c>
      <c r="V40" s="9" t="s">
        <v>39</v>
      </c>
      <c r="W40" s="9" t="s">
        <v>40</v>
      </c>
      <c r="X40" s="10"/>
      <c r="Y40" s="38" t="s">
        <v>1386</v>
      </c>
      <c r="Z40" s="41">
        <v>10</v>
      </c>
      <c r="AA40" s="44">
        <v>46204</v>
      </c>
      <c r="AB40" s="43">
        <v>46234</v>
      </c>
      <c r="AC40" s="4" t="s">
        <v>1387</v>
      </c>
    </row>
    <row r="41" spans="1:29">
      <c r="A41" s="20" t="s">
        <v>196</v>
      </c>
      <c r="B41" s="9" t="s">
        <v>197</v>
      </c>
      <c r="C41" s="23">
        <v>3</v>
      </c>
      <c r="D41" s="26" t="s">
        <v>96</v>
      </c>
      <c r="E41" s="9" t="s">
        <v>198</v>
      </c>
      <c r="F41" s="9" t="s">
        <v>48</v>
      </c>
      <c r="G41" s="9" t="s">
        <v>34</v>
      </c>
      <c r="H41" s="9" t="s">
        <v>35</v>
      </c>
      <c r="I41" s="14" t="e">
        <f ca="1">_xludf.MINIFS(VARIAN_STOK!$H$2:$H$333,VARIAN_STOK!$D$2:$D$333,$A41)</f>
        <v>#NAME?</v>
      </c>
      <c r="J41" s="14" t="e">
        <f ca="1">_xludf.MAXIFS(VARIAN_STOK!$H$2:$H$333,VARIAN_STOK!$D$2:$D$333,$A41)</f>
        <v>#NAME?</v>
      </c>
      <c r="K41" s="17">
        <f>SUMIF(VARIAN_STOK!$D$2:$D$333,$A41,VARIAN_STOK!$I$2:$I$333)</f>
        <v>2</v>
      </c>
      <c r="L41" s="17">
        <f>COUNTIF(VARIAN_STOK!$D$2:$D$333,$A41)</f>
        <v>2</v>
      </c>
      <c r="M41" s="9"/>
      <c r="N41" s="9" t="s">
        <v>199</v>
      </c>
      <c r="O41" s="9"/>
      <c r="P41" s="9"/>
      <c r="Q41" s="9"/>
      <c r="R41" s="9"/>
      <c r="S41" s="9"/>
      <c r="T41" s="9"/>
      <c r="U41" s="9" t="s">
        <v>39</v>
      </c>
      <c r="V41" s="9" t="s">
        <v>39</v>
      </c>
      <c r="W41" s="9" t="s">
        <v>40</v>
      </c>
      <c r="X41" s="10"/>
      <c r="Y41" s="38" t="s">
        <v>1386</v>
      </c>
      <c r="Z41" s="41">
        <v>10</v>
      </c>
      <c r="AA41" s="44">
        <v>46204</v>
      </c>
      <c r="AB41" s="43">
        <v>46234</v>
      </c>
      <c r="AC41" s="4" t="s">
        <v>1387</v>
      </c>
    </row>
    <row r="42" spans="1:29">
      <c r="A42" s="20" t="s">
        <v>200</v>
      </c>
      <c r="B42" s="9" t="s">
        <v>201</v>
      </c>
      <c r="C42" s="23">
        <v>3</v>
      </c>
      <c r="D42" s="26" t="s">
        <v>96</v>
      </c>
      <c r="E42" s="9" t="s">
        <v>202</v>
      </c>
      <c r="F42" s="9" t="s">
        <v>48</v>
      </c>
      <c r="G42" s="9" t="s">
        <v>58</v>
      </c>
      <c r="H42" s="9" t="s">
        <v>35</v>
      </c>
      <c r="I42" s="14" t="e">
        <f ca="1">_xludf.MINIFS(VARIAN_STOK!$H$2:$H$333,VARIAN_STOK!$D$2:$D$333,$A42)</f>
        <v>#NAME?</v>
      </c>
      <c r="J42" s="14" t="e">
        <f ca="1">_xludf.MAXIFS(VARIAN_STOK!$H$2:$H$333,VARIAN_STOK!$D$2:$D$333,$A42)</f>
        <v>#NAME?</v>
      </c>
      <c r="K42" s="17">
        <f>SUMIF(VARIAN_STOK!$D$2:$D$333,$A42,VARIAN_STOK!$I$2:$I$333)</f>
        <v>4</v>
      </c>
      <c r="L42" s="17">
        <f>COUNTIF(VARIAN_STOK!$D$2:$D$333,$A42)</f>
        <v>2</v>
      </c>
      <c r="M42" s="9"/>
      <c r="N42" s="9" t="s">
        <v>203</v>
      </c>
      <c r="O42" s="9"/>
      <c r="P42" s="9"/>
      <c r="Q42" s="9"/>
      <c r="R42" s="9"/>
      <c r="S42" s="9"/>
      <c r="T42" s="9"/>
      <c r="U42" s="9" t="s">
        <v>39</v>
      </c>
      <c r="V42" s="9" t="s">
        <v>39</v>
      </c>
      <c r="W42" s="9" t="s">
        <v>40</v>
      </c>
      <c r="X42" s="10"/>
      <c r="Y42" s="38" t="s">
        <v>1386</v>
      </c>
      <c r="Z42" s="41">
        <v>10</v>
      </c>
      <c r="AA42" s="44">
        <v>46204</v>
      </c>
      <c r="AB42" s="43">
        <v>46234</v>
      </c>
      <c r="AC42" s="4" t="s">
        <v>1387</v>
      </c>
    </row>
    <row r="43" spans="1:29">
      <c r="A43" s="20" t="s">
        <v>204</v>
      </c>
      <c r="B43" s="9" t="s">
        <v>205</v>
      </c>
      <c r="C43" s="23">
        <v>3</v>
      </c>
      <c r="D43" s="26" t="s">
        <v>96</v>
      </c>
      <c r="E43" s="9" t="s">
        <v>206</v>
      </c>
      <c r="F43" s="9" t="s">
        <v>48</v>
      </c>
      <c r="G43" s="9" t="s">
        <v>34</v>
      </c>
      <c r="H43" s="9" t="s">
        <v>35</v>
      </c>
      <c r="I43" s="14" t="e">
        <f ca="1">_xludf.MINIFS(VARIAN_STOK!$H$2:$H$333,VARIAN_STOK!$D$2:$D$333,$A43)</f>
        <v>#NAME?</v>
      </c>
      <c r="J43" s="14" t="e">
        <f ca="1">_xludf.MAXIFS(VARIAN_STOK!$H$2:$H$333,VARIAN_STOK!$D$2:$D$333,$A43)</f>
        <v>#NAME?</v>
      </c>
      <c r="K43" s="17">
        <f>SUMIF(VARIAN_STOK!$D$2:$D$333,$A43,VARIAN_STOK!$I$2:$I$333)</f>
        <v>14</v>
      </c>
      <c r="L43" s="17">
        <f>COUNTIF(VARIAN_STOK!$D$2:$D$333,$A43)</f>
        <v>4</v>
      </c>
      <c r="M43" s="9"/>
      <c r="N43" s="9" t="s">
        <v>207</v>
      </c>
      <c r="O43" s="9"/>
      <c r="P43" s="9"/>
      <c r="Q43" s="9"/>
      <c r="R43" s="9"/>
      <c r="S43" s="9"/>
      <c r="T43" s="9"/>
      <c r="U43" s="9" t="s">
        <v>39</v>
      </c>
      <c r="V43" s="9" t="s">
        <v>39</v>
      </c>
      <c r="W43" s="9" t="s">
        <v>40</v>
      </c>
      <c r="X43" s="10"/>
      <c r="Y43" s="38" t="s">
        <v>1386</v>
      </c>
      <c r="Z43" s="41">
        <v>10</v>
      </c>
      <c r="AA43" s="44">
        <v>46204</v>
      </c>
      <c r="AB43" s="43">
        <v>46234</v>
      </c>
      <c r="AC43" s="4" t="s">
        <v>1387</v>
      </c>
    </row>
    <row r="44" spans="1:29">
      <c r="A44" s="20" t="s">
        <v>208</v>
      </c>
      <c r="B44" s="9" t="s">
        <v>209</v>
      </c>
      <c r="C44" s="23">
        <v>3</v>
      </c>
      <c r="D44" s="26" t="s">
        <v>96</v>
      </c>
      <c r="E44" s="9" t="s">
        <v>210</v>
      </c>
      <c r="F44" s="9" t="s">
        <v>48</v>
      </c>
      <c r="G44" s="9" t="s">
        <v>58</v>
      </c>
      <c r="H44" s="9" t="s">
        <v>35</v>
      </c>
      <c r="I44" s="14" t="e">
        <f ca="1">_xludf.MINIFS(VARIAN_STOK!$H$2:$H$333,VARIAN_STOK!$D$2:$D$333,$A44)</f>
        <v>#NAME?</v>
      </c>
      <c r="J44" s="14" t="e">
        <f ca="1">_xludf.MAXIFS(VARIAN_STOK!$H$2:$H$333,VARIAN_STOK!$D$2:$D$333,$A44)</f>
        <v>#NAME?</v>
      </c>
      <c r="K44" s="17">
        <f>SUMIF(VARIAN_STOK!$D$2:$D$333,$A44,VARIAN_STOK!$I$2:$I$333)</f>
        <v>1</v>
      </c>
      <c r="L44" s="17">
        <f>COUNTIF(VARIAN_STOK!$D$2:$D$333,$A44)</f>
        <v>1</v>
      </c>
      <c r="M44" s="9" t="s">
        <v>188</v>
      </c>
      <c r="N44" s="9"/>
      <c r="O44" s="9"/>
      <c r="P44" s="9"/>
      <c r="Q44" s="9"/>
      <c r="R44" s="9"/>
      <c r="S44" s="9"/>
      <c r="T44" s="9"/>
      <c r="U44" s="9" t="s">
        <v>39</v>
      </c>
      <c r="V44" s="9" t="s">
        <v>39</v>
      </c>
      <c r="W44" s="9" t="s">
        <v>40</v>
      </c>
      <c r="X44" s="10"/>
      <c r="Y44" s="38" t="s">
        <v>1386</v>
      </c>
      <c r="Z44" s="41">
        <v>10</v>
      </c>
      <c r="AA44" s="44">
        <v>46204</v>
      </c>
      <c r="AB44" s="43">
        <v>46234</v>
      </c>
      <c r="AC44" s="4" t="s">
        <v>1387</v>
      </c>
    </row>
    <row r="45" spans="1:29">
      <c r="A45" s="20" t="s">
        <v>211</v>
      </c>
      <c r="B45" s="9" t="s">
        <v>212</v>
      </c>
      <c r="C45" s="23">
        <v>4</v>
      </c>
      <c r="D45" s="26" t="s">
        <v>213</v>
      </c>
      <c r="E45" s="9" t="s">
        <v>214</v>
      </c>
      <c r="F45" s="9" t="s">
        <v>98</v>
      </c>
      <c r="G45" s="9" t="s">
        <v>58</v>
      </c>
      <c r="H45" s="9" t="s">
        <v>35</v>
      </c>
      <c r="I45" s="14" t="e">
        <f ca="1">_xludf.MINIFS(VARIAN_STOK!$H$2:$H$333,VARIAN_STOK!$D$2:$D$333,$A45)</f>
        <v>#NAME?</v>
      </c>
      <c r="J45" s="14" t="e">
        <f ca="1">_xludf.MAXIFS(VARIAN_STOK!$H$2:$H$333,VARIAN_STOK!$D$2:$D$333,$A45)</f>
        <v>#NAME?</v>
      </c>
      <c r="K45" s="17">
        <f>SUMIF(VARIAN_STOK!$D$2:$D$333,$A45,VARIAN_STOK!$I$2:$I$333)</f>
        <v>1</v>
      </c>
      <c r="L45" s="17">
        <f>COUNTIF(VARIAN_STOK!$D$2:$D$333,$A45)</f>
        <v>1</v>
      </c>
      <c r="M45" s="9"/>
      <c r="N45" s="9" t="s">
        <v>77</v>
      </c>
      <c r="O45" s="9"/>
      <c r="P45" s="9"/>
      <c r="Q45" s="9"/>
      <c r="R45" s="9"/>
      <c r="S45" s="9"/>
      <c r="T45" s="9"/>
      <c r="U45" s="9" t="s">
        <v>39</v>
      </c>
      <c r="V45" s="9" t="s">
        <v>39</v>
      </c>
      <c r="W45" s="9" t="s">
        <v>40</v>
      </c>
      <c r="X45" s="10"/>
      <c r="Y45" s="38" t="s">
        <v>39</v>
      </c>
      <c r="Z45" s="41">
        <v>0</v>
      </c>
      <c r="AA45" s="44"/>
      <c r="AB45" s="44"/>
      <c r="AC45" s="5"/>
    </row>
    <row r="46" spans="1:29">
      <c r="A46" s="20" t="s">
        <v>215</v>
      </c>
      <c r="B46" s="9" t="s">
        <v>216</v>
      </c>
      <c r="C46" s="23">
        <v>4</v>
      </c>
      <c r="D46" s="26" t="s">
        <v>213</v>
      </c>
      <c r="E46" s="9" t="s">
        <v>217</v>
      </c>
      <c r="F46" s="9" t="s">
        <v>98</v>
      </c>
      <c r="G46" s="9" t="s">
        <v>58</v>
      </c>
      <c r="H46" s="9" t="s">
        <v>35</v>
      </c>
      <c r="I46" s="14" t="e">
        <f ca="1">_xludf.MINIFS(VARIAN_STOK!$H$2:$H$333,VARIAN_STOK!$D$2:$D$333,$A46)</f>
        <v>#NAME?</v>
      </c>
      <c r="J46" s="14" t="e">
        <f ca="1">_xludf.MAXIFS(VARIAN_STOK!$H$2:$H$333,VARIAN_STOK!$D$2:$D$333,$A46)</f>
        <v>#NAME?</v>
      </c>
      <c r="K46" s="17">
        <f>SUMIF(VARIAN_STOK!$D$2:$D$333,$A46,VARIAN_STOK!$I$2:$I$333)</f>
        <v>3</v>
      </c>
      <c r="L46" s="17">
        <f>COUNTIF(VARIAN_STOK!$D$2:$D$333,$A46)</f>
        <v>2</v>
      </c>
      <c r="M46" s="9"/>
      <c r="N46" s="9" t="s">
        <v>68</v>
      </c>
      <c r="O46" s="9"/>
      <c r="P46" s="9"/>
      <c r="Q46" s="9"/>
      <c r="R46" s="9"/>
      <c r="S46" s="9"/>
      <c r="T46" s="9"/>
      <c r="U46" s="9" t="s">
        <v>39</v>
      </c>
      <c r="V46" s="9" t="s">
        <v>39</v>
      </c>
      <c r="W46" s="9" t="s">
        <v>40</v>
      </c>
      <c r="X46" s="10"/>
      <c r="Y46" s="38" t="s">
        <v>39</v>
      </c>
      <c r="Z46" s="41">
        <v>0</v>
      </c>
      <c r="AA46" s="44"/>
      <c r="AB46" s="44"/>
      <c r="AC46" s="5"/>
    </row>
    <row r="47" spans="1:29">
      <c r="A47" s="20" t="s">
        <v>218</v>
      </c>
      <c r="B47" s="9" t="s">
        <v>219</v>
      </c>
      <c r="C47" s="23">
        <v>4</v>
      </c>
      <c r="D47" s="26" t="s">
        <v>213</v>
      </c>
      <c r="E47" s="9" t="s">
        <v>220</v>
      </c>
      <c r="F47" s="9" t="s">
        <v>98</v>
      </c>
      <c r="G47" s="9" t="s">
        <v>58</v>
      </c>
      <c r="H47" s="9" t="s">
        <v>35</v>
      </c>
      <c r="I47" s="14" t="e">
        <f ca="1">_xludf.MINIFS(VARIAN_STOK!$H$2:$H$333,VARIAN_STOK!$D$2:$D$333,$A47)</f>
        <v>#NAME?</v>
      </c>
      <c r="J47" s="14" t="e">
        <f ca="1">_xludf.MAXIFS(VARIAN_STOK!$H$2:$H$333,VARIAN_STOK!$D$2:$D$333,$A47)</f>
        <v>#NAME?</v>
      </c>
      <c r="K47" s="17">
        <f>SUMIF(VARIAN_STOK!$D$2:$D$333,$A47,VARIAN_STOK!$I$2:$I$333)</f>
        <v>2</v>
      </c>
      <c r="L47" s="17">
        <f>COUNTIF(VARIAN_STOK!$D$2:$D$333,$A47)</f>
        <v>1</v>
      </c>
      <c r="M47" s="9"/>
      <c r="N47" s="9"/>
      <c r="O47" s="9"/>
      <c r="P47" s="9"/>
      <c r="Q47" s="9"/>
      <c r="R47" s="9"/>
      <c r="S47" s="9"/>
      <c r="T47" s="9"/>
      <c r="U47" s="9" t="s">
        <v>39</v>
      </c>
      <c r="V47" s="9" t="s">
        <v>39</v>
      </c>
      <c r="W47" s="9" t="s">
        <v>40</v>
      </c>
      <c r="X47" s="10"/>
      <c r="Y47" s="38" t="s">
        <v>39</v>
      </c>
      <c r="Z47" s="41">
        <v>0</v>
      </c>
      <c r="AA47" s="44"/>
      <c r="AB47" s="44"/>
      <c r="AC47" s="5"/>
    </row>
    <row r="48" spans="1:29">
      <c r="A48" s="20" t="s">
        <v>221</v>
      </c>
      <c r="B48" s="9" t="s">
        <v>222</v>
      </c>
      <c r="C48" s="23">
        <v>4</v>
      </c>
      <c r="D48" s="26" t="s">
        <v>213</v>
      </c>
      <c r="E48" s="9" t="s">
        <v>223</v>
      </c>
      <c r="F48" s="9" t="s">
        <v>33</v>
      </c>
      <c r="G48" s="9" t="s">
        <v>34</v>
      </c>
      <c r="H48" s="9" t="s">
        <v>35</v>
      </c>
      <c r="I48" s="14" t="e">
        <f ca="1">_xludf.MINIFS(VARIAN_STOK!$H$2:$H$333,VARIAN_STOK!$D$2:$D$333,$A48)</f>
        <v>#NAME?</v>
      </c>
      <c r="J48" s="14" t="e">
        <f ca="1">_xludf.MAXIFS(VARIAN_STOK!$H$2:$H$333,VARIAN_STOK!$D$2:$D$333,$A48)</f>
        <v>#NAME?</v>
      </c>
      <c r="K48" s="17">
        <f>SUMIF(VARIAN_STOK!$D$2:$D$333,$A48,VARIAN_STOK!$I$2:$I$333)</f>
        <v>3</v>
      </c>
      <c r="L48" s="17">
        <f>COUNTIF(VARIAN_STOK!$D$2:$D$333,$A48)</f>
        <v>2</v>
      </c>
      <c r="M48" s="9"/>
      <c r="N48" s="9" t="s">
        <v>224</v>
      </c>
      <c r="O48" s="9"/>
      <c r="P48" s="9"/>
      <c r="Q48" s="9"/>
      <c r="R48" s="9"/>
      <c r="S48" s="9"/>
      <c r="T48" s="9"/>
      <c r="U48" s="9" t="s">
        <v>39</v>
      </c>
      <c r="V48" s="9" t="s">
        <v>39</v>
      </c>
      <c r="W48" s="9" t="s">
        <v>40</v>
      </c>
      <c r="X48" s="10"/>
      <c r="Y48" s="38" t="s">
        <v>39</v>
      </c>
      <c r="Z48" s="41">
        <v>0</v>
      </c>
      <c r="AA48" s="44"/>
      <c r="AB48" s="44"/>
      <c r="AC48" s="5"/>
    </row>
    <row r="49" spans="1:29">
      <c r="A49" s="20" t="s">
        <v>225</v>
      </c>
      <c r="B49" s="9" t="s">
        <v>226</v>
      </c>
      <c r="C49" s="23">
        <v>4</v>
      </c>
      <c r="D49" s="26" t="s">
        <v>213</v>
      </c>
      <c r="E49" s="9" t="s">
        <v>227</v>
      </c>
      <c r="F49" s="9" t="s">
        <v>33</v>
      </c>
      <c r="G49" s="9" t="s">
        <v>58</v>
      </c>
      <c r="H49" s="9" t="s">
        <v>35</v>
      </c>
      <c r="I49" s="14" t="e">
        <f ca="1">_xludf.MINIFS(VARIAN_STOK!$H$2:$H$333,VARIAN_STOK!$D$2:$D$333,$A49)</f>
        <v>#NAME?</v>
      </c>
      <c r="J49" s="14" t="e">
        <f ca="1">_xludf.MAXIFS(VARIAN_STOK!$H$2:$H$333,VARIAN_STOK!$D$2:$D$333,$A49)</f>
        <v>#NAME?</v>
      </c>
      <c r="K49" s="17">
        <f>SUMIF(VARIAN_STOK!$D$2:$D$333,$A49,VARIAN_STOK!$I$2:$I$333)</f>
        <v>1</v>
      </c>
      <c r="L49" s="17">
        <f>COUNTIF(VARIAN_STOK!$D$2:$D$333,$A49)</f>
        <v>1</v>
      </c>
      <c r="M49" s="9"/>
      <c r="N49" s="9"/>
      <c r="O49" s="9"/>
      <c r="P49" s="9"/>
      <c r="Q49" s="9"/>
      <c r="R49" s="9"/>
      <c r="S49" s="9"/>
      <c r="T49" s="9"/>
      <c r="U49" s="9" t="s">
        <v>39</v>
      </c>
      <c r="V49" s="9" t="s">
        <v>39</v>
      </c>
      <c r="W49" s="9" t="s">
        <v>40</v>
      </c>
      <c r="X49" s="10"/>
      <c r="Y49" s="38" t="s">
        <v>39</v>
      </c>
      <c r="Z49" s="41">
        <v>0</v>
      </c>
      <c r="AA49" s="44"/>
      <c r="AB49" s="44"/>
      <c r="AC49" s="5"/>
    </row>
    <row r="50" spans="1:29">
      <c r="A50" s="20" t="s">
        <v>228</v>
      </c>
      <c r="B50" s="9" t="s">
        <v>229</v>
      </c>
      <c r="C50" s="23">
        <v>4</v>
      </c>
      <c r="D50" s="26" t="s">
        <v>213</v>
      </c>
      <c r="E50" s="9" t="s">
        <v>230</v>
      </c>
      <c r="F50" s="9" t="s">
        <v>33</v>
      </c>
      <c r="G50" s="9" t="s">
        <v>34</v>
      </c>
      <c r="H50" s="9" t="s">
        <v>35</v>
      </c>
      <c r="I50" s="14" t="e">
        <f ca="1">_xludf.MINIFS(VARIAN_STOK!$H$2:$H$333,VARIAN_STOK!$D$2:$D$333,$A50)</f>
        <v>#NAME?</v>
      </c>
      <c r="J50" s="14" t="e">
        <f ca="1">_xludf.MAXIFS(VARIAN_STOK!$H$2:$H$333,VARIAN_STOK!$D$2:$D$333,$A50)</f>
        <v>#NAME?</v>
      </c>
      <c r="K50" s="17">
        <f>SUMIF(VARIAN_STOK!$D$2:$D$333,$A50,VARIAN_STOK!$I$2:$I$333)</f>
        <v>2</v>
      </c>
      <c r="L50" s="17">
        <f>COUNTIF(VARIAN_STOK!$D$2:$D$333,$A50)</f>
        <v>2</v>
      </c>
      <c r="M50" s="9"/>
      <c r="N50" s="9" t="s">
        <v>231</v>
      </c>
      <c r="O50" s="9"/>
      <c r="P50" s="9"/>
      <c r="Q50" s="9"/>
      <c r="R50" s="9"/>
      <c r="S50" s="9"/>
      <c r="T50" s="9"/>
      <c r="U50" s="9" t="s">
        <v>39</v>
      </c>
      <c r="V50" s="9" t="s">
        <v>39</v>
      </c>
      <c r="W50" s="9" t="s">
        <v>40</v>
      </c>
      <c r="X50" s="10"/>
      <c r="Y50" s="38" t="s">
        <v>39</v>
      </c>
      <c r="Z50" s="41">
        <v>0</v>
      </c>
      <c r="AA50" s="44"/>
      <c r="AB50" s="44"/>
      <c r="AC50" s="5"/>
    </row>
    <row r="51" spans="1:29">
      <c r="A51" s="20" t="s">
        <v>232</v>
      </c>
      <c r="B51" s="9" t="s">
        <v>233</v>
      </c>
      <c r="C51" s="23">
        <v>4</v>
      </c>
      <c r="D51" s="26" t="s">
        <v>213</v>
      </c>
      <c r="E51" s="9" t="s">
        <v>234</v>
      </c>
      <c r="F51" s="9" t="s">
        <v>33</v>
      </c>
      <c r="G51" s="9" t="s">
        <v>34</v>
      </c>
      <c r="H51" s="9" t="s">
        <v>35</v>
      </c>
      <c r="I51" s="14" t="e">
        <f ca="1">_xludf.MINIFS(VARIAN_STOK!$H$2:$H$333,VARIAN_STOK!$D$2:$D$333,$A51)</f>
        <v>#NAME?</v>
      </c>
      <c r="J51" s="14" t="e">
        <f ca="1">_xludf.MAXIFS(VARIAN_STOK!$H$2:$H$333,VARIAN_STOK!$D$2:$D$333,$A51)</f>
        <v>#NAME?</v>
      </c>
      <c r="K51" s="17">
        <f>SUMIF(VARIAN_STOK!$D$2:$D$333,$A51,VARIAN_STOK!$I$2:$I$333)</f>
        <v>1</v>
      </c>
      <c r="L51" s="17">
        <f>COUNTIF(VARIAN_STOK!$D$2:$D$333,$A51)</f>
        <v>1</v>
      </c>
      <c r="M51" s="9"/>
      <c r="N51" s="9" t="s">
        <v>235</v>
      </c>
      <c r="O51" s="9"/>
      <c r="P51" s="9"/>
      <c r="Q51" s="9"/>
      <c r="R51" s="9"/>
      <c r="S51" s="9"/>
      <c r="T51" s="9"/>
      <c r="U51" s="9" t="s">
        <v>39</v>
      </c>
      <c r="V51" s="9" t="s">
        <v>39</v>
      </c>
      <c r="W51" s="9" t="s">
        <v>40</v>
      </c>
      <c r="X51" s="10"/>
      <c r="Y51" s="38" t="s">
        <v>39</v>
      </c>
      <c r="Z51" s="41">
        <v>0</v>
      </c>
      <c r="AA51" s="44"/>
      <c r="AB51" s="44"/>
      <c r="AC51" s="5"/>
    </row>
    <row r="52" spans="1:29">
      <c r="A52" s="20" t="s">
        <v>236</v>
      </c>
      <c r="B52" s="9" t="s">
        <v>237</v>
      </c>
      <c r="C52" s="23">
        <v>4</v>
      </c>
      <c r="D52" s="26" t="s">
        <v>213</v>
      </c>
      <c r="E52" s="9" t="s">
        <v>238</v>
      </c>
      <c r="F52" s="9" t="s">
        <v>239</v>
      </c>
      <c r="G52" s="9" t="s">
        <v>58</v>
      </c>
      <c r="H52" s="9" t="s">
        <v>35</v>
      </c>
      <c r="I52" s="14" t="e">
        <f ca="1">_xludf.MINIFS(VARIAN_STOK!$H$2:$H$333,VARIAN_STOK!$D$2:$D$333,$A52)</f>
        <v>#NAME?</v>
      </c>
      <c r="J52" s="14" t="e">
        <f ca="1">_xludf.MAXIFS(VARIAN_STOK!$H$2:$H$333,VARIAN_STOK!$D$2:$D$333,$A52)</f>
        <v>#NAME?</v>
      </c>
      <c r="K52" s="17">
        <f>SUMIF(VARIAN_STOK!$D$2:$D$333,$A52,VARIAN_STOK!$I$2:$I$333)</f>
        <v>1</v>
      </c>
      <c r="L52" s="17">
        <f>COUNTIF(VARIAN_STOK!$D$2:$D$333,$A52)</f>
        <v>1</v>
      </c>
      <c r="M52" s="9"/>
      <c r="N52" s="9"/>
      <c r="O52" s="9"/>
      <c r="P52" s="9"/>
      <c r="Q52" s="9"/>
      <c r="R52" s="9"/>
      <c r="S52" s="9"/>
      <c r="T52" s="9"/>
      <c r="U52" s="9" t="s">
        <v>39</v>
      </c>
      <c r="V52" s="9" t="s">
        <v>39</v>
      </c>
      <c r="W52" s="9" t="s">
        <v>40</v>
      </c>
      <c r="X52" s="10"/>
      <c r="Y52" s="38" t="s">
        <v>39</v>
      </c>
      <c r="Z52" s="41">
        <v>0</v>
      </c>
      <c r="AA52" s="44"/>
      <c r="AB52" s="44"/>
      <c r="AC52" s="5"/>
    </row>
    <row r="53" spans="1:29">
      <c r="A53" s="20" t="s">
        <v>240</v>
      </c>
      <c r="B53" s="9" t="s">
        <v>241</v>
      </c>
      <c r="C53" s="23">
        <v>4</v>
      </c>
      <c r="D53" s="26" t="s">
        <v>213</v>
      </c>
      <c r="E53" s="9" t="s">
        <v>242</v>
      </c>
      <c r="F53" s="9" t="s">
        <v>239</v>
      </c>
      <c r="G53" s="9" t="s">
        <v>58</v>
      </c>
      <c r="H53" s="9" t="s">
        <v>35</v>
      </c>
      <c r="I53" s="14" t="e">
        <f ca="1">_xludf.MINIFS(VARIAN_STOK!$H$2:$H$333,VARIAN_STOK!$D$2:$D$333,$A53)</f>
        <v>#NAME?</v>
      </c>
      <c r="J53" s="14" t="e">
        <f ca="1">_xludf.MAXIFS(VARIAN_STOK!$H$2:$H$333,VARIAN_STOK!$D$2:$D$333,$A53)</f>
        <v>#NAME?</v>
      </c>
      <c r="K53" s="17">
        <f>SUMIF(VARIAN_STOK!$D$2:$D$333,$A53,VARIAN_STOK!$I$2:$I$333)</f>
        <v>1</v>
      </c>
      <c r="L53" s="17">
        <f>COUNTIF(VARIAN_STOK!$D$2:$D$333,$A53)</f>
        <v>1</v>
      </c>
      <c r="M53" s="9"/>
      <c r="N53" s="9"/>
      <c r="O53" s="9"/>
      <c r="P53" s="9"/>
      <c r="Q53" s="9"/>
      <c r="R53" s="9"/>
      <c r="S53" s="9"/>
      <c r="T53" s="9"/>
      <c r="U53" s="9" t="s">
        <v>39</v>
      </c>
      <c r="V53" s="9" t="s">
        <v>39</v>
      </c>
      <c r="W53" s="9" t="s">
        <v>40</v>
      </c>
      <c r="X53" s="10"/>
      <c r="Y53" s="38" t="s">
        <v>39</v>
      </c>
      <c r="Z53" s="41">
        <v>0</v>
      </c>
      <c r="AA53" s="44"/>
      <c r="AB53" s="44"/>
      <c r="AC53" s="5"/>
    </row>
    <row r="54" spans="1:29">
      <c r="A54" s="20" t="s">
        <v>243</v>
      </c>
      <c r="B54" s="9" t="s">
        <v>244</v>
      </c>
      <c r="C54" s="23">
        <v>4</v>
      </c>
      <c r="D54" s="26" t="s">
        <v>213</v>
      </c>
      <c r="E54" s="9" t="s">
        <v>245</v>
      </c>
      <c r="F54" s="9" t="s">
        <v>239</v>
      </c>
      <c r="G54" s="9" t="s">
        <v>58</v>
      </c>
      <c r="H54" s="9" t="s">
        <v>35</v>
      </c>
      <c r="I54" s="14" t="e">
        <f ca="1">_xludf.MINIFS(VARIAN_STOK!$H$2:$H$333,VARIAN_STOK!$D$2:$D$333,$A54)</f>
        <v>#NAME?</v>
      </c>
      <c r="J54" s="14" t="e">
        <f ca="1">_xludf.MAXIFS(VARIAN_STOK!$H$2:$H$333,VARIAN_STOK!$D$2:$D$333,$A54)</f>
        <v>#NAME?</v>
      </c>
      <c r="K54" s="17">
        <f>SUMIF(VARIAN_STOK!$D$2:$D$333,$A54,VARIAN_STOK!$I$2:$I$333)</f>
        <v>1</v>
      </c>
      <c r="L54" s="17">
        <f>COUNTIF(VARIAN_STOK!$D$2:$D$333,$A54)</f>
        <v>1</v>
      </c>
      <c r="M54" s="9" t="s">
        <v>246</v>
      </c>
      <c r="N54" s="9"/>
      <c r="O54" s="9"/>
      <c r="P54" s="9"/>
      <c r="Q54" s="9"/>
      <c r="R54" s="9"/>
      <c r="S54" s="9"/>
      <c r="T54" s="9"/>
      <c r="U54" s="9" t="s">
        <v>39</v>
      </c>
      <c r="V54" s="9" t="s">
        <v>39</v>
      </c>
      <c r="W54" s="9" t="s">
        <v>40</v>
      </c>
      <c r="X54" s="10"/>
      <c r="Y54" s="38" t="s">
        <v>39</v>
      </c>
      <c r="Z54" s="41">
        <v>0</v>
      </c>
      <c r="AA54" s="44"/>
      <c r="AB54" s="44"/>
      <c r="AC54" s="5"/>
    </row>
    <row r="55" spans="1:29">
      <c r="A55" s="20" t="s">
        <v>247</v>
      </c>
      <c r="B55" s="9" t="s">
        <v>248</v>
      </c>
      <c r="C55" s="23">
        <v>4</v>
      </c>
      <c r="D55" s="26" t="s">
        <v>213</v>
      </c>
      <c r="E55" s="9" t="s">
        <v>249</v>
      </c>
      <c r="F55" s="9" t="s">
        <v>239</v>
      </c>
      <c r="G55" s="9" t="s">
        <v>58</v>
      </c>
      <c r="H55" s="9" t="s">
        <v>35</v>
      </c>
      <c r="I55" s="14" t="e">
        <f ca="1">_xludf.MINIFS(VARIAN_STOK!$H$2:$H$333,VARIAN_STOK!$D$2:$D$333,$A55)</f>
        <v>#NAME?</v>
      </c>
      <c r="J55" s="14" t="e">
        <f ca="1">_xludf.MAXIFS(VARIAN_STOK!$H$2:$H$333,VARIAN_STOK!$D$2:$D$333,$A55)</f>
        <v>#NAME?</v>
      </c>
      <c r="K55" s="17">
        <f>SUMIF(VARIAN_STOK!$D$2:$D$333,$A55,VARIAN_STOK!$I$2:$I$333)</f>
        <v>1</v>
      </c>
      <c r="L55" s="17">
        <f>COUNTIF(VARIAN_STOK!$D$2:$D$333,$A55)</f>
        <v>1</v>
      </c>
      <c r="M55" s="9"/>
      <c r="N55" s="9"/>
      <c r="O55" s="9"/>
      <c r="P55" s="9"/>
      <c r="Q55" s="9"/>
      <c r="R55" s="9"/>
      <c r="S55" s="9"/>
      <c r="T55" s="9"/>
      <c r="U55" s="9" t="s">
        <v>39</v>
      </c>
      <c r="V55" s="9" t="s">
        <v>39</v>
      </c>
      <c r="W55" s="9" t="s">
        <v>40</v>
      </c>
      <c r="X55" s="10"/>
      <c r="Y55" s="38" t="s">
        <v>39</v>
      </c>
      <c r="Z55" s="41">
        <v>0</v>
      </c>
      <c r="AA55" s="44"/>
      <c r="AB55" s="44"/>
      <c r="AC55" s="5"/>
    </row>
    <row r="56" spans="1:29" ht="28">
      <c r="A56" s="20" t="s">
        <v>250</v>
      </c>
      <c r="B56" s="9" t="s">
        <v>251</v>
      </c>
      <c r="C56" s="23">
        <v>4</v>
      </c>
      <c r="D56" s="26" t="s">
        <v>213</v>
      </c>
      <c r="E56" s="9" t="s">
        <v>252</v>
      </c>
      <c r="F56" s="9" t="s">
        <v>239</v>
      </c>
      <c r="G56" s="9" t="s">
        <v>58</v>
      </c>
      <c r="H56" s="9" t="s">
        <v>35</v>
      </c>
      <c r="I56" s="14" t="e">
        <f ca="1">_xludf.MINIFS(VARIAN_STOK!$H$2:$H$333,VARIAN_STOK!$D$2:$D$333,$A56)</f>
        <v>#NAME?</v>
      </c>
      <c r="J56" s="14" t="e">
        <f ca="1">_xludf.MAXIFS(VARIAN_STOK!$H$2:$H$333,VARIAN_STOK!$D$2:$D$333,$A56)</f>
        <v>#NAME?</v>
      </c>
      <c r="K56" s="17">
        <f>SUMIF(VARIAN_STOK!$D$2:$D$333,$A56,VARIAN_STOK!$I$2:$I$333)</f>
        <v>1</v>
      </c>
      <c r="L56" s="17">
        <f>COUNTIF(VARIAN_STOK!$D$2:$D$333,$A56)</f>
        <v>1</v>
      </c>
      <c r="M56" s="9"/>
      <c r="N56" s="9"/>
      <c r="O56" s="9"/>
      <c r="P56" s="9"/>
      <c r="Q56" s="9"/>
      <c r="R56" s="9"/>
      <c r="S56" s="9"/>
      <c r="T56" s="9"/>
      <c r="U56" s="9" t="s">
        <v>39</v>
      </c>
      <c r="V56" s="9" t="s">
        <v>39</v>
      </c>
      <c r="W56" s="9" t="s">
        <v>40</v>
      </c>
      <c r="X56" s="10"/>
      <c r="Y56" s="38" t="s">
        <v>39</v>
      </c>
      <c r="Z56" s="41">
        <v>0</v>
      </c>
      <c r="AA56" s="44"/>
      <c r="AB56" s="44"/>
      <c r="AC56" s="5"/>
    </row>
    <row r="57" spans="1:29">
      <c r="A57" s="20" t="s">
        <v>253</v>
      </c>
      <c r="B57" s="9" t="s">
        <v>254</v>
      </c>
      <c r="C57" s="23">
        <v>4</v>
      </c>
      <c r="D57" s="26" t="s">
        <v>213</v>
      </c>
      <c r="E57" s="9" t="s">
        <v>255</v>
      </c>
      <c r="F57" s="9" t="s">
        <v>88</v>
      </c>
      <c r="G57" s="9" t="s">
        <v>58</v>
      </c>
      <c r="H57" s="9" t="s">
        <v>35</v>
      </c>
      <c r="I57" s="14" t="e">
        <f ca="1">_xludf.MINIFS(VARIAN_STOK!$H$2:$H$333,VARIAN_STOK!$D$2:$D$333,$A57)</f>
        <v>#NAME?</v>
      </c>
      <c r="J57" s="14" t="e">
        <f ca="1">_xludf.MAXIFS(VARIAN_STOK!$H$2:$H$333,VARIAN_STOK!$D$2:$D$333,$A57)</f>
        <v>#NAME?</v>
      </c>
      <c r="K57" s="17">
        <f>SUMIF(VARIAN_STOK!$D$2:$D$333,$A57,VARIAN_STOK!$I$2:$I$333)</f>
        <v>1</v>
      </c>
      <c r="L57" s="17">
        <f>COUNTIF(VARIAN_STOK!$D$2:$D$333,$A57)</f>
        <v>1</v>
      </c>
      <c r="M57" s="9" t="s">
        <v>256</v>
      </c>
      <c r="N57" s="9" t="s">
        <v>257</v>
      </c>
      <c r="O57" s="9"/>
      <c r="P57" s="9"/>
      <c r="Q57" s="9"/>
      <c r="R57" s="9"/>
      <c r="S57" s="9"/>
      <c r="T57" s="9"/>
      <c r="U57" s="9" t="s">
        <v>39</v>
      </c>
      <c r="V57" s="9" t="s">
        <v>39</v>
      </c>
      <c r="W57" s="9" t="s">
        <v>40</v>
      </c>
      <c r="X57" s="10"/>
      <c r="Y57" s="38" t="s">
        <v>39</v>
      </c>
      <c r="Z57" s="41">
        <v>0</v>
      </c>
      <c r="AA57" s="44"/>
      <c r="AB57" s="44"/>
      <c r="AC57" s="5"/>
    </row>
    <row r="58" spans="1:29">
      <c r="A58" s="20" t="s">
        <v>258</v>
      </c>
      <c r="B58" s="9" t="s">
        <v>259</v>
      </c>
      <c r="C58" s="23">
        <v>4</v>
      </c>
      <c r="D58" s="26" t="s">
        <v>213</v>
      </c>
      <c r="E58" s="9" t="s">
        <v>260</v>
      </c>
      <c r="F58" s="9" t="s">
        <v>48</v>
      </c>
      <c r="G58" s="9" t="s">
        <v>34</v>
      </c>
      <c r="H58" s="9" t="s">
        <v>35</v>
      </c>
      <c r="I58" s="14" t="e">
        <f ca="1">_xludf.MINIFS(VARIAN_STOK!$H$2:$H$333,VARIAN_STOK!$D$2:$D$333,$A58)</f>
        <v>#NAME?</v>
      </c>
      <c r="J58" s="14" t="e">
        <f ca="1">_xludf.MAXIFS(VARIAN_STOK!$H$2:$H$333,VARIAN_STOK!$D$2:$D$333,$A58)</f>
        <v>#NAME?</v>
      </c>
      <c r="K58" s="17">
        <f>SUMIF(VARIAN_STOK!$D$2:$D$333,$A58,VARIAN_STOK!$I$2:$I$333)</f>
        <v>2</v>
      </c>
      <c r="L58" s="17">
        <f>COUNTIF(VARIAN_STOK!$D$2:$D$333,$A58)</f>
        <v>2</v>
      </c>
      <c r="M58" s="9"/>
      <c r="N58" s="9" t="s">
        <v>261</v>
      </c>
      <c r="O58" s="9"/>
      <c r="P58" s="9"/>
      <c r="Q58" s="9"/>
      <c r="R58" s="9"/>
      <c r="S58" s="9"/>
      <c r="T58" s="9"/>
      <c r="U58" s="9" t="s">
        <v>39</v>
      </c>
      <c r="V58" s="9" t="s">
        <v>39</v>
      </c>
      <c r="W58" s="9" t="s">
        <v>40</v>
      </c>
      <c r="X58" s="10"/>
      <c r="Y58" s="38" t="s">
        <v>39</v>
      </c>
      <c r="Z58" s="41">
        <v>0</v>
      </c>
      <c r="AA58" s="44"/>
      <c r="AB58" s="44"/>
      <c r="AC58" s="5"/>
    </row>
    <row r="59" spans="1:29">
      <c r="A59" s="20" t="s">
        <v>262</v>
      </c>
      <c r="B59" s="9" t="s">
        <v>263</v>
      </c>
      <c r="C59" s="23">
        <v>4</v>
      </c>
      <c r="D59" s="26" t="s">
        <v>213</v>
      </c>
      <c r="E59" s="9" t="s">
        <v>264</v>
      </c>
      <c r="F59" s="9" t="s">
        <v>48</v>
      </c>
      <c r="G59" s="9" t="s">
        <v>34</v>
      </c>
      <c r="H59" s="9" t="s">
        <v>35</v>
      </c>
      <c r="I59" s="14" t="e">
        <f ca="1">_xludf.MINIFS(VARIAN_STOK!$H$2:$H$333,VARIAN_STOK!$D$2:$D$333,$A59)</f>
        <v>#NAME?</v>
      </c>
      <c r="J59" s="14" t="e">
        <f ca="1">_xludf.MAXIFS(VARIAN_STOK!$H$2:$H$333,VARIAN_STOK!$D$2:$D$333,$A59)</f>
        <v>#NAME?</v>
      </c>
      <c r="K59" s="17">
        <f>SUMIF(VARIAN_STOK!$D$2:$D$333,$A59,VARIAN_STOK!$I$2:$I$333)</f>
        <v>5</v>
      </c>
      <c r="L59" s="17">
        <f>COUNTIF(VARIAN_STOK!$D$2:$D$333,$A59)</f>
        <v>3</v>
      </c>
      <c r="M59" s="9"/>
      <c r="N59" s="9" t="s">
        <v>265</v>
      </c>
      <c r="O59" s="9"/>
      <c r="P59" s="9"/>
      <c r="Q59" s="9"/>
      <c r="R59" s="9"/>
      <c r="S59" s="9"/>
      <c r="T59" s="9"/>
      <c r="U59" s="9" t="s">
        <v>39</v>
      </c>
      <c r="V59" s="9" t="s">
        <v>39</v>
      </c>
      <c r="W59" s="9" t="s">
        <v>40</v>
      </c>
      <c r="X59" s="10"/>
      <c r="Y59" s="38" t="s">
        <v>39</v>
      </c>
      <c r="Z59" s="41">
        <v>0</v>
      </c>
      <c r="AA59" s="44"/>
      <c r="AB59" s="44"/>
      <c r="AC59" s="5"/>
    </row>
    <row r="60" spans="1:29">
      <c r="A60" s="20" t="s">
        <v>266</v>
      </c>
      <c r="B60" s="9" t="s">
        <v>267</v>
      </c>
      <c r="C60" s="23">
        <v>4</v>
      </c>
      <c r="D60" s="26" t="s">
        <v>213</v>
      </c>
      <c r="E60" s="9" t="s">
        <v>268</v>
      </c>
      <c r="F60" s="9" t="s">
        <v>48</v>
      </c>
      <c r="G60" s="9" t="s">
        <v>34</v>
      </c>
      <c r="H60" s="9" t="s">
        <v>35</v>
      </c>
      <c r="I60" s="14" t="e">
        <f ca="1">_xludf.MINIFS(VARIAN_STOK!$H$2:$H$333,VARIAN_STOK!$D$2:$D$333,$A60)</f>
        <v>#NAME?</v>
      </c>
      <c r="J60" s="14" t="e">
        <f ca="1">_xludf.MAXIFS(VARIAN_STOK!$H$2:$H$333,VARIAN_STOK!$D$2:$D$333,$A60)</f>
        <v>#NAME?</v>
      </c>
      <c r="K60" s="17">
        <f>SUMIF(VARIAN_STOK!$D$2:$D$333,$A60,VARIAN_STOK!$I$2:$I$333)</f>
        <v>1</v>
      </c>
      <c r="L60" s="17">
        <f>COUNTIF(VARIAN_STOK!$D$2:$D$333,$A60)</f>
        <v>1</v>
      </c>
      <c r="M60" s="9"/>
      <c r="N60" s="9" t="s">
        <v>147</v>
      </c>
      <c r="O60" s="9"/>
      <c r="P60" s="9"/>
      <c r="Q60" s="9"/>
      <c r="R60" s="9"/>
      <c r="S60" s="9"/>
      <c r="T60" s="9"/>
      <c r="U60" s="9" t="s">
        <v>39</v>
      </c>
      <c r="V60" s="9" t="s">
        <v>39</v>
      </c>
      <c r="W60" s="9" t="s">
        <v>40</v>
      </c>
      <c r="X60" s="10"/>
      <c r="Y60" s="38" t="s">
        <v>39</v>
      </c>
      <c r="Z60" s="41">
        <v>0</v>
      </c>
      <c r="AA60" s="44"/>
      <c r="AB60" s="44"/>
      <c r="AC60" s="5"/>
    </row>
    <row r="61" spans="1:29">
      <c r="A61" s="20" t="s">
        <v>269</v>
      </c>
      <c r="B61" s="9" t="s">
        <v>270</v>
      </c>
      <c r="C61" s="23">
        <v>4</v>
      </c>
      <c r="D61" s="26" t="s">
        <v>213</v>
      </c>
      <c r="E61" s="9" t="s">
        <v>271</v>
      </c>
      <c r="F61" s="9" t="s">
        <v>48</v>
      </c>
      <c r="G61" s="9" t="s">
        <v>34</v>
      </c>
      <c r="H61" s="9" t="s">
        <v>35</v>
      </c>
      <c r="I61" s="14" t="e">
        <f ca="1">_xludf.MINIFS(VARIAN_STOK!$H$2:$H$333,VARIAN_STOK!$D$2:$D$333,$A61)</f>
        <v>#NAME?</v>
      </c>
      <c r="J61" s="14" t="e">
        <f ca="1">_xludf.MAXIFS(VARIAN_STOK!$H$2:$H$333,VARIAN_STOK!$D$2:$D$333,$A61)</f>
        <v>#NAME?</v>
      </c>
      <c r="K61" s="17">
        <f>SUMIF(VARIAN_STOK!$D$2:$D$333,$A61,VARIAN_STOK!$I$2:$I$333)</f>
        <v>5</v>
      </c>
      <c r="L61" s="17">
        <f>COUNTIF(VARIAN_STOK!$D$2:$D$333,$A61)</f>
        <v>3</v>
      </c>
      <c r="M61" s="9"/>
      <c r="N61" s="9" t="s">
        <v>265</v>
      </c>
      <c r="O61" s="9"/>
      <c r="P61" s="9"/>
      <c r="Q61" s="9"/>
      <c r="R61" s="9"/>
      <c r="S61" s="9"/>
      <c r="T61" s="9"/>
      <c r="U61" s="9" t="s">
        <v>39</v>
      </c>
      <c r="V61" s="9" t="s">
        <v>39</v>
      </c>
      <c r="W61" s="9" t="s">
        <v>40</v>
      </c>
      <c r="X61" s="10"/>
      <c r="Y61" s="38" t="s">
        <v>39</v>
      </c>
      <c r="Z61" s="41">
        <v>0</v>
      </c>
      <c r="AA61" s="44"/>
      <c r="AB61" s="44"/>
      <c r="AC61" s="5"/>
    </row>
    <row r="62" spans="1:29">
      <c r="A62" s="20" t="s">
        <v>272</v>
      </c>
      <c r="B62" s="9" t="s">
        <v>273</v>
      </c>
      <c r="C62" s="23">
        <v>4</v>
      </c>
      <c r="D62" s="26" t="s">
        <v>213</v>
      </c>
      <c r="E62" s="9" t="s">
        <v>274</v>
      </c>
      <c r="F62" s="9" t="s">
        <v>48</v>
      </c>
      <c r="G62" s="9" t="s">
        <v>58</v>
      </c>
      <c r="H62" s="9" t="s">
        <v>35</v>
      </c>
      <c r="I62" s="14" t="e">
        <f ca="1">_xludf.MINIFS(VARIAN_STOK!$H$2:$H$333,VARIAN_STOK!$D$2:$D$333,$A62)</f>
        <v>#NAME?</v>
      </c>
      <c r="J62" s="14" t="e">
        <f ca="1">_xludf.MAXIFS(VARIAN_STOK!$H$2:$H$333,VARIAN_STOK!$D$2:$D$333,$A62)</f>
        <v>#NAME?</v>
      </c>
      <c r="K62" s="17">
        <f>SUMIF(VARIAN_STOK!$D$2:$D$333,$A62,VARIAN_STOK!$I$2:$I$333)</f>
        <v>1</v>
      </c>
      <c r="L62" s="17">
        <f>COUNTIF(VARIAN_STOK!$D$2:$D$333,$A62)</f>
        <v>1</v>
      </c>
      <c r="M62" s="9"/>
      <c r="N62" s="9"/>
      <c r="O62" s="9"/>
      <c r="P62" s="9"/>
      <c r="Q62" s="9"/>
      <c r="R62" s="9"/>
      <c r="S62" s="9"/>
      <c r="T62" s="9"/>
      <c r="U62" s="9" t="s">
        <v>39</v>
      </c>
      <c r="V62" s="9" t="s">
        <v>39</v>
      </c>
      <c r="W62" s="9" t="s">
        <v>40</v>
      </c>
      <c r="X62" s="10"/>
      <c r="Y62" s="38" t="s">
        <v>39</v>
      </c>
      <c r="Z62" s="41">
        <v>0</v>
      </c>
      <c r="AA62" s="44"/>
      <c r="AB62" s="44"/>
      <c r="AC62" s="5"/>
    </row>
    <row r="63" spans="1:29">
      <c r="A63" s="20" t="s">
        <v>275</v>
      </c>
      <c r="B63" s="9" t="s">
        <v>276</v>
      </c>
      <c r="C63" s="23">
        <v>4</v>
      </c>
      <c r="D63" s="26" t="s">
        <v>213</v>
      </c>
      <c r="E63" s="9" t="s">
        <v>277</v>
      </c>
      <c r="F63" s="9" t="s">
        <v>48</v>
      </c>
      <c r="G63" s="9" t="s">
        <v>58</v>
      </c>
      <c r="H63" s="9" t="s">
        <v>35</v>
      </c>
      <c r="I63" s="14" t="e">
        <f ca="1">_xludf.MINIFS(VARIAN_STOK!$H$2:$H$333,VARIAN_STOK!$D$2:$D$333,$A63)</f>
        <v>#NAME?</v>
      </c>
      <c r="J63" s="14" t="e">
        <f ca="1">_xludf.MAXIFS(VARIAN_STOK!$H$2:$H$333,VARIAN_STOK!$D$2:$D$333,$A63)</f>
        <v>#NAME?</v>
      </c>
      <c r="K63" s="17">
        <f>SUMIF(VARIAN_STOK!$D$2:$D$333,$A63,VARIAN_STOK!$I$2:$I$333)</f>
        <v>1</v>
      </c>
      <c r="L63" s="17">
        <f>COUNTIF(VARIAN_STOK!$D$2:$D$333,$A63)</f>
        <v>1</v>
      </c>
      <c r="M63" s="9"/>
      <c r="N63" s="9"/>
      <c r="O63" s="9"/>
      <c r="P63" s="9"/>
      <c r="Q63" s="9"/>
      <c r="R63" s="9"/>
      <c r="S63" s="9"/>
      <c r="T63" s="9"/>
      <c r="U63" s="9" t="s">
        <v>39</v>
      </c>
      <c r="V63" s="9" t="s">
        <v>39</v>
      </c>
      <c r="W63" s="9" t="s">
        <v>40</v>
      </c>
      <c r="X63" s="10"/>
      <c r="Y63" s="38" t="s">
        <v>39</v>
      </c>
      <c r="Z63" s="41">
        <v>0</v>
      </c>
      <c r="AA63" s="44"/>
      <c r="AB63" s="44"/>
      <c r="AC63" s="5"/>
    </row>
    <row r="64" spans="1:29">
      <c r="A64" s="20" t="s">
        <v>278</v>
      </c>
      <c r="B64" s="9" t="s">
        <v>279</v>
      </c>
      <c r="C64" s="23">
        <v>4</v>
      </c>
      <c r="D64" s="26" t="s">
        <v>213</v>
      </c>
      <c r="E64" s="9" t="s">
        <v>280</v>
      </c>
      <c r="F64" s="9" t="s">
        <v>48</v>
      </c>
      <c r="G64" s="9" t="s">
        <v>34</v>
      </c>
      <c r="H64" s="9" t="s">
        <v>35</v>
      </c>
      <c r="I64" s="14" t="e">
        <f ca="1">_xludf.MINIFS(VARIAN_STOK!$H$2:$H$333,VARIAN_STOK!$D$2:$D$333,$A64)</f>
        <v>#NAME?</v>
      </c>
      <c r="J64" s="14" t="e">
        <f ca="1">_xludf.MAXIFS(VARIAN_STOK!$H$2:$H$333,VARIAN_STOK!$D$2:$D$333,$A64)</f>
        <v>#NAME?</v>
      </c>
      <c r="K64" s="17">
        <f>SUMIF(VARIAN_STOK!$D$2:$D$333,$A64,VARIAN_STOK!$I$2:$I$333)</f>
        <v>2</v>
      </c>
      <c r="L64" s="17">
        <f>COUNTIF(VARIAN_STOK!$D$2:$D$333,$A64)</f>
        <v>2</v>
      </c>
      <c r="M64" s="9"/>
      <c r="N64" s="9" t="s">
        <v>261</v>
      </c>
      <c r="O64" s="9"/>
      <c r="P64" s="9"/>
      <c r="Q64" s="9"/>
      <c r="R64" s="9"/>
      <c r="S64" s="9"/>
      <c r="T64" s="9"/>
      <c r="U64" s="9" t="s">
        <v>39</v>
      </c>
      <c r="V64" s="9" t="s">
        <v>39</v>
      </c>
      <c r="W64" s="9" t="s">
        <v>40</v>
      </c>
      <c r="X64" s="10"/>
      <c r="Y64" s="38" t="s">
        <v>39</v>
      </c>
      <c r="Z64" s="41">
        <v>0</v>
      </c>
      <c r="AA64" s="44"/>
      <c r="AB64" s="44"/>
      <c r="AC64" s="5"/>
    </row>
    <row r="65" spans="1:29">
      <c r="A65" s="20" t="s">
        <v>281</v>
      </c>
      <c r="B65" s="9" t="s">
        <v>282</v>
      </c>
      <c r="C65" s="23">
        <v>4</v>
      </c>
      <c r="D65" s="26" t="s">
        <v>213</v>
      </c>
      <c r="E65" s="9" t="s">
        <v>283</v>
      </c>
      <c r="F65" s="9" t="s">
        <v>284</v>
      </c>
      <c r="G65" s="9" t="s">
        <v>58</v>
      </c>
      <c r="H65" s="9" t="s">
        <v>35</v>
      </c>
      <c r="I65" s="14" t="e">
        <f ca="1">_xludf.MINIFS(VARIAN_STOK!$H$2:$H$333,VARIAN_STOK!$D$2:$D$333,$A65)</f>
        <v>#NAME?</v>
      </c>
      <c r="J65" s="14" t="e">
        <f ca="1">_xludf.MAXIFS(VARIAN_STOK!$H$2:$H$333,VARIAN_STOK!$D$2:$D$333,$A65)</f>
        <v>#NAME?</v>
      </c>
      <c r="K65" s="17">
        <f>SUMIF(VARIAN_STOK!$D$2:$D$333,$A65,VARIAN_STOK!$I$2:$I$333)</f>
        <v>1</v>
      </c>
      <c r="L65" s="17">
        <f>COUNTIF(VARIAN_STOK!$D$2:$D$333,$A65)</f>
        <v>1</v>
      </c>
      <c r="M65" s="9"/>
      <c r="N65" s="9"/>
      <c r="O65" s="9"/>
      <c r="P65" s="9"/>
      <c r="Q65" s="9"/>
      <c r="R65" s="9"/>
      <c r="S65" s="9"/>
      <c r="T65" s="9"/>
      <c r="U65" s="9" t="s">
        <v>39</v>
      </c>
      <c r="V65" s="9" t="s">
        <v>39</v>
      </c>
      <c r="W65" s="9" t="s">
        <v>40</v>
      </c>
      <c r="X65" s="10"/>
      <c r="Y65" s="38" t="s">
        <v>39</v>
      </c>
      <c r="Z65" s="41">
        <v>0</v>
      </c>
      <c r="AA65" s="44"/>
      <c r="AB65" s="44"/>
      <c r="AC65" s="5"/>
    </row>
    <row r="66" spans="1:29">
      <c r="A66" s="20" t="s">
        <v>285</v>
      </c>
      <c r="B66" s="9" t="s">
        <v>286</v>
      </c>
      <c r="C66" s="23">
        <v>4</v>
      </c>
      <c r="D66" s="26" t="s">
        <v>213</v>
      </c>
      <c r="E66" s="9" t="s">
        <v>287</v>
      </c>
      <c r="F66" s="9" t="s">
        <v>288</v>
      </c>
      <c r="G66" s="9" t="s">
        <v>58</v>
      </c>
      <c r="H66" s="9" t="s">
        <v>35</v>
      </c>
      <c r="I66" s="14" t="e">
        <f ca="1">_xludf.MINIFS(VARIAN_STOK!$H$2:$H$333,VARIAN_STOK!$D$2:$D$333,$A66)</f>
        <v>#NAME?</v>
      </c>
      <c r="J66" s="14" t="e">
        <f ca="1">_xludf.MAXIFS(VARIAN_STOK!$H$2:$H$333,VARIAN_STOK!$D$2:$D$333,$A66)</f>
        <v>#NAME?</v>
      </c>
      <c r="K66" s="17">
        <f>SUMIF(VARIAN_STOK!$D$2:$D$333,$A66,VARIAN_STOK!$I$2:$I$333)</f>
        <v>1</v>
      </c>
      <c r="L66" s="17">
        <f>COUNTIF(VARIAN_STOK!$D$2:$D$333,$A66)</f>
        <v>1</v>
      </c>
      <c r="M66" s="9"/>
      <c r="N66" s="9"/>
      <c r="O66" s="9"/>
      <c r="P66" s="9"/>
      <c r="Q66" s="9"/>
      <c r="R66" s="9"/>
      <c r="S66" s="9"/>
      <c r="T66" s="9"/>
      <c r="U66" s="9" t="s">
        <v>39</v>
      </c>
      <c r="V66" s="9" t="s">
        <v>39</v>
      </c>
      <c r="W66" s="9" t="s">
        <v>40</v>
      </c>
      <c r="X66" s="10"/>
      <c r="Y66" s="38" t="s">
        <v>39</v>
      </c>
      <c r="Z66" s="41">
        <v>0</v>
      </c>
      <c r="AA66" s="44"/>
      <c r="AB66" s="44"/>
      <c r="AC66" s="5"/>
    </row>
    <row r="67" spans="1:29">
      <c r="A67" s="20" t="s">
        <v>289</v>
      </c>
      <c r="B67" s="9" t="s">
        <v>290</v>
      </c>
      <c r="C67" s="23">
        <v>4</v>
      </c>
      <c r="D67" s="26" t="s">
        <v>213</v>
      </c>
      <c r="E67" s="9" t="s">
        <v>291</v>
      </c>
      <c r="F67" s="9" t="s">
        <v>288</v>
      </c>
      <c r="G67" s="9" t="s">
        <v>34</v>
      </c>
      <c r="H67" s="9" t="s">
        <v>35</v>
      </c>
      <c r="I67" s="14" t="e">
        <f ca="1">_xludf.MINIFS(VARIAN_STOK!$H$2:$H$333,VARIAN_STOK!$D$2:$D$333,$A67)</f>
        <v>#NAME?</v>
      </c>
      <c r="J67" s="14" t="e">
        <f ca="1">_xludf.MAXIFS(VARIAN_STOK!$H$2:$H$333,VARIAN_STOK!$D$2:$D$333,$A67)</f>
        <v>#NAME?</v>
      </c>
      <c r="K67" s="17">
        <f>SUMIF(VARIAN_STOK!$D$2:$D$333,$A67,VARIAN_STOK!$I$2:$I$333)</f>
        <v>1</v>
      </c>
      <c r="L67" s="17">
        <f>COUNTIF(VARIAN_STOK!$D$2:$D$333,$A67)</f>
        <v>1</v>
      </c>
      <c r="M67" s="9"/>
      <c r="N67" s="9" t="s">
        <v>292</v>
      </c>
      <c r="O67" s="9"/>
      <c r="P67" s="9"/>
      <c r="Q67" s="9"/>
      <c r="R67" s="9"/>
      <c r="S67" s="9"/>
      <c r="T67" s="9"/>
      <c r="U67" s="9" t="s">
        <v>39</v>
      </c>
      <c r="V67" s="9" t="s">
        <v>39</v>
      </c>
      <c r="W67" s="9" t="s">
        <v>40</v>
      </c>
      <c r="X67" s="10"/>
      <c r="Y67" s="38" t="s">
        <v>39</v>
      </c>
      <c r="Z67" s="41">
        <v>0</v>
      </c>
      <c r="AA67" s="44"/>
      <c r="AB67" s="44"/>
      <c r="AC67" s="5"/>
    </row>
    <row r="68" spans="1:29">
      <c r="A68" s="20" t="s">
        <v>293</v>
      </c>
      <c r="B68" s="9" t="s">
        <v>294</v>
      </c>
      <c r="C68" s="23">
        <v>4</v>
      </c>
      <c r="D68" s="26" t="s">
        <v>213</v>
      </c>
      <c r="E68" s="9" t="s">
        <v>295</v>
      </c>
      <c r="F68" s="9" t="s">
        <v>288</v>
      </c>
      <c r="G68" s="9" t="s">
        <v>34</v>
      </c>
      <c r="H68" s="9" t="s">
        <v>35</v>
      </c>
      <c r="I68" s="14" t="e">
        <f ca="1">_xludf.MINIFS(VARIAN_STOK!$H$2:$H$333,VARIAN_STOK!$D$2:$D$333,$A68)</f>
        <v>#NAME?</v>
      </c>
      <c r="J68" s="14" t="e">
        <f ca="1">_xludf.MAXIFS(VARIAN_STOK!$H$2:$H$333,VARIAN_STOK!$D$2:$D$333,$A68)</f>
        <v>#NAME?</v>
      </c>
      <c r="K68" s="17">
        <f>SUMIF(VARIAN_STOK!$D$2:$D$333,$A68,VARIAN_STOK!$I$2:$I$333)</f>
        <v>2</v>
      </c>
      <c r="L68" s="17">
        <f>COUNTIF(VARIAN_STOK!$D$2:$D$333,$A68)</f>
        <v>1</v>
      </c>
      <c r="M68" s="9"/>
      <c r="N68" s="9" t="s">
        <v>292</v>
      </c>
      <c r="O68" s="9"/>
      <c r="P68" s="9"/>
      <c r="Q68" s="9"/>
      <c r="R68" s="9"/>
      <c r="S68" s="9"/>
      <c r="T68" s="9"/>
      <c r="U68" s="9" t="s">
        <v>39</v>
      </c>
      <c r="V68" s="9" t="s">
        <v>39</v>
      </c>
      <c r="W68" s="9" t="s">
        <v>40</v>
      </c>
      <c r="X68" s="10"/>
      <c r="Y68" s="38" t="s">
        <v>39</v>
      </c>
      <c r="Z68" s="41">
        <v>0</v>
      </c>
      <c r="AA68" s="44"/>
      <c r="AB68" s="44"/>
      <c r="AC68" s="5"/>
    </row>
    <row r="69" spans="1:29">
      <c r="A69" s="20" t="s">
        <v>296</v>
      </c>
      <c r="B69" s="9" t="s">
        <v>297</v>
      </c>
      <c r="C69" s="23">
        <v>4</v>
      </c>
      <c r="D69" s="26" t="s">
        <v>213</v>
      </c>
      <c r="E69" s="9" t="s">
        <v>298</v>
      </c>
      <c r="F69" s="9" t="s">
        <v>288</v>
      </c>
      <c r="G69" s="9" t="s">
        <v>34</v>
      </c>
      <c r="H69" s="9" t="s">
        <v>35</v>
      </c>
      <c r="I69" s="14" t="e">
        <f ca="1">_xludf.MINIFS(VARIAN_STOK!$H$2:$H$333,VARIAN_STOK!$D$2:$D$333,$A69)</f>
        <v>#NAME?</v>
      </c>
      <c r="J69" s="14" t="e">
        <f ca="1">_xludf.MAXIFS(VARIAN_STOK!$H$2:$H$333,VARIAN_STOK!$D$2:$D$333,$A69)</f>
        <v>#NAME?</v>
      </c>
      <c r="K69" s="17">
        <f>SUMIF(VARIAN_STOK!$D$2:$D$333,$A69,VARIAN_STOK!$I$2:$I$333)</f>
        <v>1</v>
      </c>
      <c r="L69" s="17">
        <f>COUNTIF(VARIAN_STOK!$D$2:$D$333,$A69)</f>
        <v>1</v>
      </c>
      <c r="M69" s="9"/>
      <c r="N69" s="9" t="s">
        <v>299</v>
      </c>
      <c r="O69" s="9"/>
      <c r="P69" s="9"/>
      <c r="Q69" s="9"/>
      <c r="R69" s="9"/>
      <c r="S69" s="9"/>
      <c r="T69" s="9"/>
      <c r="U69" s="9" t="s">
        <v>39</v>
      </c>
      <c r="V69" s="9" t="s">
        <v>39</v>
      </c>
      <c r="W69" s="9" t="s">
        <v>40</v>
      </c>
      <c r="X69" s="10"/>
      <c r="Y69" s="38" t="s">
        <v>39</v>
      </c>
      <c r="Z69" s="41">
        <v>0</v>
      </c>
      <c r="AA69" s="44"/>
      <c r="AB69" s="44"/>
      <c r="AC69" s="5"/>
    </row>
    <row r="70" spans="1:29">
      <c r="A70" s="20" t="s">
        <v>300</v>
      </c>
      <c r="B70" s="9" t="s">
        <v>301</v>
      </c>
      <c r="C70" s="23">
        <v>4</v>
      </c>
      <c r="D70" s="26" t="s">
        <v>213</v>
      </c>
      <c r="E70" s="9" t="s">
        <v>302</v>
      </c>
      <c r="F70" s="9" t="s">
        <v>288</v>
      </c>
      <c r="G70" s="9" t="s">
        <v>34</v>
      </c>
      <c r="H70" s="9" t="s">
        <v>35</v>
      </c>
      <c r="I70" s="14" t="e">
        <f ca="1">_xludf.MINIFS(VARIAN_STOK!$H$2:$H$333,VARIAN_STOK!$D$2:$D$333,$A70)</f>
        <v>#NAME?</v>
      </c>
      <c r="J70" s="14" t="e">
        <f ca="1">_xludf.MAXIFS(VARIAN_STOK!$H$2:$H$333,VARIAN_STOK!$D$2:$D$333,$A70)</f>
        <v>#NAME?</v>
      </c>
      <c r="K70" s="17">
        <f>SUMIF(VARIAN_STOK!$D$2:$D$333,$A70,VARIAN_STOK!$I$2:$I$333)</f>
        <v>2</v>
      </c>
      <c r="L70" s="17">
        <f>COUNTIF(VARIAN_STOK!$D$2:$D$333,$A70)</f>
        <v>1</v>
      </c>
      <c r="M70" s="9"/>
      <c r="N70" s="9" t="s">
        <v>299</v>
      </c>
      <c r="O70" s="9"/>
      <c r="P70" s="9"/>
      <c r="Q70" s="9"/>
      <c r="R70" s="9"/>
      <c r="S70" s="9"/>
      <c r="T70" s="9"/>
      <c r="U70" s="9" t="s">
        <v>39</v>
      </c>
      <c r="V70" s="9" t="s">
        <v>39</v>
      </c>
      <c r="W70" s="9" t="s">
        <v>40</v>
      </c>
      <c r="X70" s="10"/>
      <c r="Y70" s="38" t="s">
        <v>39</v>
      </c>
      <c r="Z70" s="41">
        <v>0</v>
      </c>
      <c r="AA70" s="44"/>
      <c r="AB70" s="44"/>
      <c r="AC70" s="5"/>
    </row>
    <row r="71" spans="1:29">
      <c r="A71" s="20" t="s">
        <v>303</v>
      </c>
      <c r="B71" s="9" t="s">
        <v>304</v>
      </c>
      <c r="C71" s="23">
        <v>4</v>
      </c>
      <c r="D71" s="26" t="s">
        <v>213</v>
      </c>
      <c r="E71" s="9" t="s">
        <v>305</v>
      </c>
      <c r="F71" s="9" t="s">
        <v>288</v>
      </c>
      <c r="G71" s="9" t="s">
        <v>34</v>
      </c>
      <c r="H71" s="9" t="s">
        <v>35</v>
      </c>
      <c r="I71" s="14" t="e">
        <f ca="1">_xludf.MINIFS(VARIAN_STOK!$H$2:$H$333,VARIAN_STOK!$D$2:$D$333,$A71)</f>
        <v>#NAME?</v>
      </c>
      <c r="J71" s="14" t="e">
        <f ca="1">_xludf.MAXIFS(VARIAN_STOK!$H$2:$H$333,VARIAN_STOK!$D$2:$D$333,$A71)</f>
        <v>#NAME?</v>
      </c>
      <c r="K71" s="17">
        <f>SUMIF(VARIAN_STOK!$D$2:$D$333,$A71,VARIAN_STOK!$I$2:$I$333)</f>
        <v>1</v>
      </c>
      <c r="L71" s="17">
        <f>COUNTIF(VARIAN_STOK!$D$2:$D$333,$A71)</f>
        <v>1</v>
      </c>
      <c r="M71" s="9"/>
      <c r="N71" s="9" t="s">
        <v>292</v>
      </c>
      <c r="O71" s="9"/>
      <c r="P71" s="9"/>
      <c r="Q71" s="9"/>
      <c r="R71" s="9"/>
      <c r="S71" s="9"/>
      <c r="T71" s="9"/>
      <c r="U71" s="9" t="s">
        <v>39</v>
      </c>
      <c r="V71" s="9" t="s">
        <v>39</v>
      </c>
      <c r="W71" s="9" t="s">
        <v>40</v>
      </c>
      <c r="X71" s="10"/>
      <c r="Y71" s="38" t="s">
        <v>39</v>
      </c>
      <c r="Z71" s="41">
        <v>0</v>
      </c>
      <c r="AA71" s="44"/>
      <c r="AB71" s="44"/>
      <c r="AC71" s="5"/>
    </row>
    <row r="72" spans="1:29">
      <c r="A72" s="20" t="s">
        <v>306</v>
      </c>
      <c r="B72" s="9" t="s">
        <v>307</v>
      </c>
      <c r="C72" s="23">
        <v>4</v>
      </c>
      <c r="D72" s="26" t="s">
        <v>213</v>
      </c>
      <c r="E72" s="9" t="s">
        <v>308</v>
      </c>
      <c r="F72" s="9" t="s">
        <v>288</v>
      </c>
      <c r="G72" s="9" t="s">
        <v>58</v>
      </c>
      <c r="H72" s="9" t="s">
        <v>35</v>
      </c>
      <c r="I72" s="14" t="e">
        <f ca="1">_xludf.MINIFS(VARIAN_STOK!$H$2:$H$333,VARIAN_STOK!$D$2:$D$333,$A72)</f>
        <v>#NAME?</v>
      </c>
      <c r="J72" s="14" t="e">
        <f ca="1">_xludf.MAXIFS(VARIAN_STOK!$H$2:$H$333,VARIAN_STOK!$D$2:$D$333,$A72)</f>
        <v>#NAME?</v>
      </c>
      <c r="K72" s="17">
        <f>SUMIF(VARIAN_STOK!$D$2:$D$333,$A72,VARIAN_STOK!$I$2:$I$333)</f>
        <v>1</v>
      </c>
      <c r="L72" s="17">
        <f>COUNTIF(VARIAN_STOK!$D$2:$D$333,$A72)</f>
        <v>1</v>
      </c>
      <c r="M72" s="9"/>
      <c r="N72" s="9"/>
      <c r="O72" s="9"/>
      <c r="P72" s="9"/>
      <c r="Q72" s="9"/>
      <c r="R72" s="9"/>
      <c r="S72" s="9"/>
      <c r="T72" s="9"/>
      <c r="U72" s="9" t="s">
        <v>39</v>
      </c>
      <c r="V72" s="9" t="s">
        <v>39</v>
      </c>
      <c r="W72" s="9" t="s">
        <v>40</v>
      </c>
      <c r="X72" s="10"/>
      <c r="Y72" s="38" t="s">
        <v>39</v>
      </c>
      <c r="Z72" s="41">
        <v>0</v>
      </c>
      <c r="AA72" s="44"/>
      <c r="AB72" s="44"/>
      <c r="AC72" s="5"/>
    </row>
    <row r="73" spans="1:29">
      <c r="A73" s="20" t="s">
        <v>309</v>
      </c>
      <c r="B73" s="9" t="s">
        <v>310</v>
      </c>
      <c r="C73" s="23">
        <v>4</v>
      </c>
      <c r="D73" s="26" t="s">
        <v>213</v>
      </c>
      <c r="E73" s="9" t="s">
        <v>311</v>
      </c>
      <c r="F73" s="9" t="s">
        <v>288</v>
      </c>
      <c r="G73" s="9" t="s">
        <v>34</v>
      </c>
      <c r="H73" s="9" t="s">
        <v>35</v>
      </c>
      <c r="I73" s="14" t="e">
        <f ca="1">_xludf.MINIFS(VARIAN_STOK!$H$2:$H$333,VARIAN_STOK!$D$2:$D$333,$A73)</f>
        <v>#NAME?</v>
      </c>
      <c r="J73" s="14" t="e">
        <f ca="1">_xludf.MAXIFS(VARIAN_STOK!$H$2:$H$333,VARIAN_STOK!$D$2:$D$333,$A73)</f>
        <v>#NAME?</v>
      </c>
      <c r="K73" s="17">
        <f>SUMIF(VARIAN_STOK!$D$2:$D$333,$A73,VARIAN_STOK!$I$2:$I$333)</f>
        <v>1</v>
      </c>
      <c r="L73" s="17">
        <f>COUNTIF(VARIAN_STOK!$D$2:$D$333,$A73)</f>
        <v>1</v>
      </c>
      <c r="M73" s="9"/>
      <c r="N73" s="9" t="s">
        <v>299</v>
      </c>
      <c r="O73" s="9"/>
      <c r="P73" s="9"/>
      <c r="Q73" s="9"/>
      <c r="R73" s="9"/>
      <c r="S73" s="9"/>
      <c r="T73" s="9"/>
      <c r="U73" s="9" t="s">
        <v>39</v>
      </c>
      <c r="V73" s="9" t="s">
        <v>39</v>
      </c>
      <c r="W73" s="9" t="s">
        <v>40</v>
      </c>
      <c r="X73" s="10"/>
      <c r="Y73" s="38" t="s">
        <v>39</v>
      </c>
      <c r="Z73" s="41">
        <v>0</v>
      </c>
      <c r="AA73" s="44"/>
      <c r="AB73" s="44"/>
      <c r="AC73" s="5"/>
    </row>
    <row r="74" spans="1:29">
      <c r="A74" s="20" t="s">
        <v>312</v>
      </c>
      <c r="B74" s="9" t="s">
        <v>313</v>
      </c>
      <c r="C74" s="23">
        <v>4</v>
      </c>
      <c r="D74" s="26" t="s">
        <v>213</v>
      </c>
      <c r="E74" s="9" t="s">
        <v>314</v>
      </c>
      <c r="F74" s="9" t="s">
        <v>288</v>
      </c>
      <c r="G74" s="9" t="s">
        <v>34</v>
      </c>
      <c r="H74" s="9" t="s">
        <v>35</v>
      </c>
      <c r="I74" s="14" t="e">
        <f ca="1">_xludf.MINIFS(VARIAN_STOK!$H$2:$H$333,VARIAN_STOK!$D$2:$D$333,$A74)</f>
        <v>#NAME?</v>
      </c>
      <c r="J74" s="14" t="e">
        <f ca="1">_xludf.MAXIFS(VARIAN_STOK!$H$2:$H$333,VARIAN_STOK!$D$2:$D$333,$A74)</f>
        <v>#NAME?</v>
      </c>
      <c r="K74" s="17">
        <f>SUMIF(VARIAN_STOK!$D$2:$D$333,$A74,VARIAN_STOK!$I$2:$I$333)</f>
        <v>2</v>
      </c>
      <c r="L74" s="17">
        <f>COUNTIF(VARIAN_STOK!$D$2:$D$333,$A74)</f>
        <v>1</v>
      </c>
      <c r="M74" s="9"/>
      <c r="N74" s="9" t="s">
        <v>292</v>
      </c>
      <c r="O74" s="9"/>
      <c r="P74" s="9"/>
      <c r="Q74" s="9"/>
      <c r="R74" s="9"/>
      <c r="S74" s="9"/>
      <c r="T74" s="9"/>
      <c r="U74" s="9" t="s">
        <v>39</v>
      </c>
      <c r="V74" s="9" t="s">
        <v>39</v>
      </c>
      <c r="W74" s="9" t="s">
        <v>40</v>
      </c>
      <c r="X74" s="10"/>
      <c r="Y74" s="38" t="s">
        <v>39</v>
      </c>
      <c r="Z74" s="41">
        <v>0</v>
      </c>
      <c r="AA74" s="44"/>
      <c r="AB74" s="44"/>
      <c r="AC74" s="5"/>
    </row>
    <row r="75" spans="1:29">
      <c r="A75" s="20" t="s">
        <v>315</v>
      </c>
      <c r="B75" s="9" t="s">
        <v>316</v>
      </c>
      <c r="C75" s="23">
        <v>4</v>
      </c>
      <c r="D75" s="26" t="s">
        <v>213</v>
      </c>
      <c r="E75" s="9" t="s">
        <v>317</v>
      </c>
      <c r="F75" s="9" t="s">
        <v>288</v>
      </c>
      <c r="G75" s="9" t="s">
        <v>58</v>
      </c>
      <c r="H75" s="9" t="s">
        <v>35</v>
      </c>
      <c r="I75" s="14" t="e">
        <f ca="1">_xludf.MINIFS(VARIAN_STOK!$H$2:$H$333,VARIAN_STOK!$D$2:$D$333,$A75)</f>
        <v>#NAME?</v>
      </c>
      <c r="J75" s="14" t="e">
        <f ca="1">_xludf.MAXIFS(VARIAN_STOK!$H$2:$H$333,VARIAN_STOK!$D$2:$D$333,$A75)</f>
        <v>#NAME?</v>
      </c>
      <c r="K75" s="17">
        <f>SUMIF(VARIAN_STOK!$D$2:$D$333,$A75,VARIAN_STOK!$I$2:$I$333)</f>
        <v>2</v>
      </c>
      <c r="L75" s="17">
        <f>COUNTIF(VARIAN_STOK!$D$2:$D$333,$A75)</f>
        <v>1</v>
      </c>
      <c r="M75" s="9" t="s">
        <v>318</v>
      </c>
      <c r="N75" s="9"/>
      <c r="O75" s="9"/>
      <c r="P75" s="9"/>
      <c r="Q75" s="9"/>
      <c r="R75" s="9"/>
      <c r="S75" s="9"/>
      <c r="T75" s="9"/>
      <c r="U75" s="9" t="s">
        <v>39</v>
      </c>
      <c r="V75" s="9" t="s">
        <v>39</v>
      </c>
      <c r="W75" s="9" t="s">
        <v>40</v>
      </c>
      <c r="X75" s="10"/>
      <c r="Y75" s="38" t="s">
        <v>39</v>
      </c>
      <c r="Z75" s="41">
        <v>0</v>
      </c>
      <c r="AA75" s="44"/>
      <c r="AB75" s="44"/>
      <c r="AC75" s="5"/>
    </row>
    <row r="76" spans="1:29">
      <c r="A76" s="20" t="s">
        <v>319</v>
      </c>
      <c r="B76" s="9" t="s">
        <v>320</v>
      </c>
      <c r="C76" s="23">
        <v>4</v>
      </c>
      <c r="D76" s="26" t="s">
        <v>213</v>
      </c>
      <c r="E76" s="9" t="s">
        <v>321</v>
      </c>
      <c r="F76" s="9" t="s">
        <v>322</v>
      </c>
      <c r="G76" s="9" t="s">
        <v>58</v>
      </c>
      <c r="H76" s="9" t="s">
        <v>35</v>
      </c>
      <c r="I76" s="14" t="e">
        <f ca="1">_xludf.MINIFS(VARIAN_STOK!$H$2:$H$333,VARIAN_STOK!$D$2:$D$333,$A76)</f>
        <v>#NAME?</v>
      </c>
      <c r="J76" s="14" t="e">
        <f ca="1">_xludf.MAXIFS(VARIAN_STOK!$H$2:$H$333,VARIAN_STOK!$D$2:$D$333,$A76)</f>
        <v>#NAME?</v>
      </c>
      <c r="K76" s="17">
        <f>SUMIF(VARIAN_STOK!$D$2:$D$333,$A76,VARIAN_STOK!$I$2:$I$333)</f>
        <v>1</v>
      </c>
      <c r="L76" s="17">
        <f>COUNTIF(VARIAN_STOK!$D$2:$D$333,$A76)</f>
        <v>1</v>
      </c>
      <c r="M76" s="9"/>
      <c r="N76" s="9" t="s">
        <v>323</v>
      </c>
      <c r="O76" s="9"/>
      <c r="P76" s="9"/>
      <c r="Q76" s="9"/>
      <c r="R76" s="9"/>
      <c r="S76" s="9"/>
      <c r="T76" s="9"/>
      <c r="U76" s="9" t="s">
        <v>39</v>
      </c>
      <c r="V76" s="9" t="s">
        <v>39</v>
      </c>
      <c r="W76" s="9" t="s">
        <v>40</v>
      </c>
      <c r="X76" s="10"/>
      <c r="Y76" s="38" t="s">
        <v>39</v>
      </c>
      <c r="Z76" s="41">
        <v>0</v>
      </c>
      <c r="AA76" s="44"/>
      <c r="AB76" s="44"/>
      <c r="AC76" s="5"/>
    </row>
    <row r="77" spans="1:29">
      <c r="A77" s="20" t="s">
        <v>324</v>
      </c>
      <c r="B77" s="9" t="s">
        <v>325</v>
      </c>
      <c r="C77" s="23">
        <v>4</v>
      </c>
      <c r="D77" s="26" t="s">
        <v>213</v>
      </c>
      <c r="E77" s="9" t="s">
        <v>326</v>
      </c>
      <c r="F77" s="9" t="s">
        <v>322</v>
      </c>
      <c r="G77" s="9" t="s">
        <v>58</v>
      </c>
      <c r="H77" s="9" t="s">
        <v>35</v>
      </c>
      <c r="I77" s="14" t="e">
        <f ca="1">_xludf.MINIFS(VARIAN_STOK!$H$2:$H$333,VARIAN_STOK!$D$2:$D$333,$A77)</f>
        <v>#NAME?</v>
      </c>
      <c r="J77" s="14" t="e">
        <f ca="1">_xludf.MAXIFS(VARIAN_STOK!$H$2:$H$333,VARIAN_STOK!$D$2:$D$333,$A77)</f>
        <v>#NAME?</v>
      </c>
      <c r="K77" s="17">
        <f>SUMIF(VARIAN_STOK!$D$2:$D$333,$A77,VARIAN_STOK!$I$2:$I$333)</f>
        <v>2</v>
      </c>
      <c r="L77" s="17">
        <f>COUNTIF(VARIAN_STOK!$D$2:$D$333,$A77)</f>
        <v>1</v>
      </c>
      <c r="M77" s="9"/>
      <c r="N77" s="9"/>
      <c r="O77" s="9"/>
      <c r="P77" s="9"/>
      <c r="Q77" s="9"/>
      <c r="R77" s="9"/>
      <c r="S77" s="9"/>
      <c r="T77" s="9"/>
      <c r="U77" s="9" t="s">
        <v>39</v>
      </c>
      <c r="V77" s="9" t="s">
        <v>39</v>
      </c>
      <c r="W77" s="9" t="s">
        <v>40</v>
      </c>
      <c r="X77" s="10"/>
      <c r="Y77" s="38" t="s">
        <v>39</v>
      </c>
      <c r="Z77" s="41">
        <v>0</v>
      </c>
      <c r="AA77" s="44"/>
      <c r="AB77" s="44"/>
      <c r="AC77" s="5"/>
    </row>
    <row r="78" spans="1:29">
      <c r="A78" s="20" t="s">
        <v>327</v>
      </c>
      <c r="B78" s="9" t="s">
        <v>328</v>
      </c>
      <c r="C78" s="23">
        <v>4</v>
      </c>
      <c r="D78" s="26" t="s">
        <v>213</v>
      </c>
      <c r="E78" s="9" t="s">
        <v>329</v>
      </c>
      <c r="F78" s="9" t="s">
        <v>322</v>
      </c>
      <c r="G78" s="9" t="s">
        <v>58</v>
      </c>
      <c r="H78" s="9" t="s">
        <v>35</v>
      </c>
      <c r="I78" s="14" t="e">
        <f ca="1">_xludf.MINIFS(VARIAN_STOK!$H$2:$H$333,VARIAN_STOK!$D$2:$D$333,$A78)</f>
        <v>#NAME?</v>
      </c>
      <c r="J78" s="14" t="e">
        <f ca="1">_xludf.MAXIFS(VARIAN_STOK!$H$2:$H$333,VARIAN_STOK!$D$2:$D$333,$A78)</f>
        <v>#NAME?</v>
      </c>
      <c r="K78" s="17">
        <f>SUMIF(VARIAN_STOK!$D$2:$D$333,$A78,VARIAN_STOK!$I$2:$I$333)</f>
        <v>3</v>
      </c>
      <c r="L78" s="17">
        <f>COUNTIF(VARIAN_STOK!$D$2:$D$333,$A78)</f>
        <v>1</v>
      </c>
      <c r="M78" s="9"/>
      <c r="N78" s="9"/>
      <c r="O78" s="9"/>
      <c r="P78" s="9"/>
      <c r="Q78" s="9"/>
      <c r="R78" s="9"/>
      <c r="S78" s="9"/>
      <c r="T78" s="9"/>
      <c r="U78" s="9" t="s">
        <v>39</v>
      </c>
      <c r="V78" s="9" t="s">
        <v>39</v>
      </c>
      <c r="W78" s="9" t="s">
        <v>40</v>
      </c>
      <c r="X78" s="10"/>
      <c r="Y78" s="38" t="s">
        <v>39</v>
      </c>
      <c r="Z78" s="41">
        <v>0</v>
      </c>
      <c r="AA78" s="44"/>
      <c r="AB78" s="44"/>
      <c r="AC78" s="5"/>
    </row>
    <row r="79" spans="1:29">
      <c r="A79" s="20" t="s">
        <v>330</v>
      </c>
      <c r="B79" s="9" t="s">
        <v>331</v>
      </c>
      <c r="C79" s="23">
        <v>4</v>
      </c>
      <c r="D79" s="26" t="s">
        <v>213</v>
      </c>
      <c r="E79" s="9" t="s">
        <v>332</v>
      </c>
      <c r="F79" s="9" t="s">
        <v>322</v>
      </c>
      <c r="G79" s="9" t="s">
        <v>58</v>
      </c>
      <c r="H79" s="9" t="s">
        <v>35</v>
      </c>
      <c r="I79" s="14" t="e">
        <f ca="1">_xludf.MINIFS(VARIAN_STOK!$H$2:$H$333,VARIAN_STOK!$D$2:$D$333,$A79)</f>
        <v>#NAME?</v>
      </c>
      <c r="J79" s="14" t="e">
        <f ca="1">_xludf.MAXIFS(VARIAN_STOK!$H$2:$H$333,VARIAN_STOK!$D$2:$D$333,$A79)</f>
        <v>#NAME?</v>
      </c>
      <c r="K79" s="17">
        <f>SUMIF(VARIAN_STOK!$D$2:$D$333,$A79,VARIAN_STOK!$I$2:$I$333)</f>
        <v>1</v>
      </c>
      <c r="L79" s="17">
        <f>COUNTIF(VARIAN_STOK!$D$2:$D$333,$A79)</f>
        <v>1</v>
      </c>
      <c r="M79" s="9"/>
      <c r="N79" s="9"/>
      <c r="O79" s="9"/>
      <c r="P79" s="9"/>
      <c r="Q79" s="9"/>
      <c r="R79" s="9"/>
      <c r="S79" s="9"/>
      <c r="T79" s="9"/>
      <c r="U79" s="9" t="s">
        <v>39</v>
      </c>
      <c r="V79" s="9" t="s">
        <v>39</v>
      </c>
      <c r="W79" s="9" t="s">
        <v>40</v>
      </c>
      <c r="X79" s="10"/>
      <c r="Y79" s="38" t="s">
        <v>39</v>
      </c>
      <c r="Z79" s="41">
        <v>0</v>
      </c>
      <c r="AA79" s="44"/>
      <c r="AB79" s="44"/>
      <c r="AC79" s="5"/>
    </row>
    <row r="80" spans="1:29">
      <c r="A80" s="20" t="s">
        <v>333</v>
      </c>
      <c r="B80" s="9" t="s">
        <v>334</v>
      </c>
      <c r="C80" s="23">
        <v>6</v>
      </c>
      <c r="D80" s="26" t="s">
        <v>335</v>
      </c>
      <c r="E80" s="9" t="s">
        <v>336</v>
      </c>
      <c r="F80" s="9" t="s">
        <v>57</v>
      </c>
      <c r="G80" s="9" t="s">
        <v>58</v>
      </c>
      <c r="H80" s="9" t="s">
        <v>35</v>
      </c>
      <c r="I80" s="14" t="e">
        <f ca="1">_xludf.MINIFS(VARIAN_STOK!$H$2:$H$333,VARIAN_STOK!$D$2:$D$333,$A80)</f>
        <v>#NAME?</v>
      </c>
      <c r="J80" s="14" t="e">
        <f ca="1">_xludf.MAXIFS(VARIAN_STOK!$H$2:$H$333,VARIAN_STOK!$D$2:$D$333,$A80)</f>
        <v>#NAME?</v>
      </c>
      <c r="K80" s="17">
        <f>SUMIF(VARIAN_STOK!$D$2:$D$333,$A80,VARIAN_STOK!$I$2:$I$333)</f>
        <v>1</v>
      </c>
      <c r="L80" s="17">
        <f>COUNTIF(VARIAN_STOK!$D$2:$D$333,$A80)</f>
        <v>1</v>
      </c>
      <c r="M80" s="9" t="s">
        <v>337</v>
      </c>
      <c r="N80" s="9"/>
      <c r="O80" s="9"/>
      <c r="P80" s="9"/>
      <c r="Q80" s="9"/>
      <c r="R80" s="9"/>
      <c r="S80" s="9"/>
      <c r="T80" s="9"/>
      <c r="U80" s="9" t="s">
        <v>39</v>
      </c>
      <c r="V80" s="9" t="s">
        <v>39</v>
      </c>
      <c r="W80" s="9" t="s">
        <v>40</v>
      </c>
      <c r="X80" s="10"/>
      <c r="Y80" s="38" t="s">
        <v>39</v>
      </c>
      <c r="Z80" s="41">
        <v>0</v>
      </c>
      <c r="AA80" s="44"/>
      <c r="AB80" s="44"/>
      <c r="AC80" s="5"/>
    </row>
    <row r="81" spans="1:29">
      <c r="A81" s="20" t="s">
        <v>338</v>
      </c>
      <c r="B81" s="9" t="s">
        <v>339</v>
      </c>
      <c r="C81" s="23">
        <v>6</v>
      </c>
      <c r="D81" s="26" t="s">
        <v>335</v>
      </c>
      <c r="E81" s="9" t="s">
        <v>340</v>
      </c>
      <c r="F81" s="9" t="s">
        <v>57</v>
      </c>
      <c r="G81" s="9" t="s">
        <v>58</v>
      </c>
      <c r="H81" s="9" t="s">
        <v>35</v>
      </c>
      <c r="I81" s="14" t="e">
        <f ca="1">_xludf.MINIFS(VARIAN_STOK!$H$2:$H$333,VARIAN_STOK!$D$2:$D$333,$A81)</f>
        <v>#NAME?</v>
      </c>
      <c r="J81" s="14" t="e">
        <f ca="1">_xludf.MAXIFS(VARIAN_STOK!$H$2:$H$333,VARIAN_STOK!$D$2:$D$333,$A81)</f>
        <v>#NAME?</v>
      </c>
      <c r="K81" s="17">
        <f>SUMIF(VARIAN_STOK!$D$2:$D$333,$A81,VARIAN_STOK!$I$2:$I$333)</f>
        <v>1</v>
      </c>
      <c r="L81" s="17">
        <f>COUNTIF(VARIAN_STOK!$D$2:$D$333,$A81)</f>
        <v>1</v>
      </c>
      <c r="M81" s="9"/>
      <c r="N81" s="9"/>
      <c r="O81" s="9"/>
      <c r="P81" s="9"/>
      <c r="Q81" s="9"/>
      <c r="R81" s="9"/>
      <c r="S81" s="9"/>
      <c r="T81" s="9"/>
      <c r="U81" s="9" t="s">
        <v>39</v>
      </c>
      <c r="V81" s="9" t="s">
        <v>39</v>
      </c>
      <c r="W81" s="9" t="s">
        <v>40</v>
      </c>
      <c r="X81" s="10"/>
      <c r="Y81" s="38" t="s">
        <v>39</v>
      </c>
      <c r="Z81" s="41">
        <v>0</v>
      </c>
      <c r="AA81" s="44"/>
      <c r="AB81" s="44"/>
      <c r="AC81" s="5"/>
    </row>
    <row r="82" spans="1:29">
      <c r="A82" s="20" t="s">
        <v>341</v>
      </c>
      <c r="B82" s="9" t="s">
        <v>342</v>
      </c>
      <c r="C82" s="23">
        <v>6</v>
      </c>
      <c r="D82" s="26" t="s">
        <v>335</v>
      </c>
      <c r="E82" s="9" t="s">
        <v>343</v>
      </c>
      <c r="F82" s="9" t="s">
        <v>57</v>
      </c>
      <c r="G82" s="9" t="s">
        <v>58</v>
      </c>
      <c r="H82" s="9" t="s">
        <v>35</v>
      </c>
      <c r="I82" s="14" t="e">
        <f ca="1">_xludf.MINIFS(VARIAN_STOK!$H$2:$H$333,VARIAN_STOK!$D$2:$D$333,$A82)</f>
        <v>#NAME?</v>
      </c>
      <c r="J82" s="14" t="e">
        <f ca="1">_xludf.MAXIFS(VARIAN_STOK!$H$2:$H$333,VARIAN_STOK!$D$2:$D$333,$A82)</f>
        <v>#NAME?</v>
      </c>
      <c r="K82" s="17">
        <f>SUMIF(VARIAN_STOK!$D$2:$D$333,$A82,VARIAN_STOK!$I$2:$I$333)</f>
        <v>1</v>
      </c>
      <c r="L82" s="17">
        <f>COUNTIF(VARIAN_STOK!$D$2:$D$333,$A82)</f>
        <v>1</v>
      </c>
      <c r="M82" s="9"/>
      <c r="N82" s="9"/>
      <c r="O82" s="9"/>
      <c r="P82" s="9"/>
      <c r="Q82" s="9"/>
      <c r="R82" s="9"/>
      <c r="S82" s="9"/>
      <c r="T82" s="9"/>
      <c r="U82" s="9" t="s">
        <v>39</v>
      </c>
      <c r="V82" s="9" t="s">
        <v>39</v>
      </c>
      <c r="W82" s="9" t="s">
        <v>40</v>
      </c>
      <c r="X82" s="10"/>
      <c r="Y82" s="38" t="s">
        <v>39</v>
      </c>
      <c r="Z82" s="41">
        <v>0</v>
      </c>
      <c r="AA82" s="44"/>
      <c r="AB82" s="44"/>
      <c r="AC82" s="5"/>
    </row>
    <row r="83" spans="1:29">
      <c r="A83" s="20" t="s">
        <v>344</v>
      </c>
      <c r="B83" s="9" t="s">
        <v>345</v>
      </c>
      <c r="C83" s="23">
        <v>6</v>
      </c>
      <c r="D83" s="26" t="s">
        <v>335</v>
      </c>
      <c r="E83" s="9" t="s">
        <v>346</v>
      </c>
      <c r="F83" s="9" t="s">
        <v>57</v>
      </c>
      <c r="G83" s="9" t="s">
        <v>58</v>
      </c>
      <c r="H83" s="9" t="s">
        <v>35</v>
      </c>
      <c r="I83" s="14" t="e">
        <f ca="1">_xludf.MINIFS(VARIAN_STOK!$H$2:$H$333,VARIAN_STOK!$D$2:$D$333,$A83)</f>
        <v>#NAME?</v>
      </c>
      <c r="J83" s="14" t="e">
        <f ca="1">_xludf.MAXIFS(VARIAN_STOK!$H$2:$H$333,VARIAN_STOK!$D$2:$D$333,$A83)</f>
        <v>#NAME?</v>
      </c>
      <c r="K83" s="17">
        <f>SUMIF(VARIAN_STOK!$D$2:$D$333,$A83,VARIAN_STOK!$I$2:$I$333)</f>
        <v>1</v>
      </c>
      <c r="L83" s="17">
        <f>COUNTIF(VARIAN_STOK!$D$2:$D$333,$A83)</f>
        <v>1</v>
      </c>
      <c r="M83" s="9"/>
      <c r="N83" s="9"/>
      <c r="O83" s="9"/>
      <c r="P83" s="9"/>
      <c r="Q83" s="9"/>
      <c r="R83" s="9"/>
      <c r="S83" s="9"/>
      <c r="T83" s="9"/>
      <c r="U83" s="9" t="s">
        <v>39</v>
      </c>
      <c r="V83" s="9" t="s">
        <v>39</v>
      </c>
      <c r="W83" s="9" t="s">
        <v>40</v>
      </c>
      <c r="X83" s="10"/>
      <c r="Y83" s="38" t="s">
        <v>39</v>
      </c>
      <c r="Z83" s="41">
        <v>0</v>
      </c>
      <c r="AA83" s="44"/>
      <c r="AB83" s="44"/>
      <c r="AC83" s="5"/>
    </row>
    <row r="84" spans="1:29">
      <c r="A84" s="20" t="s">
        <v>347</v>
      </c>
      <c r="B84" s="9" t="s">
        <v>348</v>
      </c>
      <c r="C84" s="23">
        <v>6</v>
      </c>
      <c r="D84" s="26" t="s">
        <v>335</v>
      </c>
      <c r="E84" s="9" t="s">
        <v>349</v>
      </c>
      <c r="F84" s="9" t="s">
        <v>57</v>
      </c>
      <c r="G84" s="9" t="s">
        <v>58</v>
      </c>
      <c r="H84" s="9" t="s">
        <v>35</v>
      </c>
      <c r="I84" s="14" t="e">
        <f ca="1">_xludf.MINIFS(VARIAN_STOK!$H$2:$H$333,VARIAN_STOK!$D$2:$D$333,$A84)</f>
        <v>#NAME?</v>
      </c>
      <c r="J84" s="14" t="e">
        <f ca="1">_xludf.MAXIFS(VARIAN_STOK!$H$2:$H$333,VARIAN_STOK!$D$2:$D$333,$A84)</f>
        <v>#NAME?</v>
      </c>
      <c r="K84" s="17">
        <f>SUMIF(VARIAN_STOK!$D$2:$D$333,$A84,VARIAN_STOK!$I$2:$I$333)</f>
        <v>2</v>
      </c>
      <c r="L84" s="17">
        <f>COUNTIF(VARIAN_STOK!$D$2:$D$333,$A84)</f>
        <v>1</v>
      </c>
      <c r="M84" s="9" t="s">
        <v>350</v>
      </c>
      <c r="N84" s="9"/>
      <c r="O84" s="9"/>
      <c r="P84" s="9"/>
      <c r="Q84" s="9"/>
      <c r="R84" s="9"/>
      <c r="S84" s="9"/>
      <c r="T84" s="9"/>
      <c r="U84" s="9" t="s">
        <v>39</v>
      </c>
      <c r="V84" s="9" t="s">
        <v>39</v>
      </c>
      <c r="W84" s="9" t="s">
        <v>40</v>
      </c>
      <c r="X84" s="10"/>
      <c r="Y84" s="38" t="s">
        <v>39</v>
      </c>
      <c r="Z84" s="41">
        <v>0</v>
      </c>
      <c r="AA84" s="44"/>
      <c r="AB84" s="44"/>
      <c r="AC84" s="5"/>
    </row>
    <row r="85" spans="1:29">
      <c r="A85" s="20" t="s">
        <v>351</v>
      </c>
      <c r="B85" s="9" t="s">
        <v>352</v>
      </c>
      <c r="C85" s="23">
        <v>7</v>
      </c>
      <c r="D85" s="26" t="s">
        <v>353</v>
      </c>
      <c r="E85" s="9" t="s">
        <v>354</v>
      </c>
      <c r="F85" s="9" t="s">
        <v>57</v>
      </c>
      <c r="G85" s="9" t="s">
        <v>58</v>
      </c>
      <c r="H85" s="9" t="s">
        <v>35</v>
      </c>
      <c r="I85" s="14" t="e">
        <f ca="1">_xludf.MINIFS(VARIAN_STOK!$H$2:$H$333,VARIAN_STOK!$D$2:$D$333,$A85)</f>
        <v>#NAME?</v>
      </c>
      <c r="J85" s="14" t="e">
        <f ca="1">_xludf.MAXIFS(VARIAN_STOK!$H$2:$H$333,VARIAN_STOK!$D$2:$D$333,$A85)</f>
        <v>#NAME?</v>
      </c>
      <c r="K85" s="17">
        <f>SUMIF(VARIAN_STOK!$D$2:$D$333,$A85,VARIAN_STOK!$I$2:$I$333)</f>
        <v>145</v>
      </c>
      <c r="L85" s="17">
        <f>COUNTIF(VARIAN_STOK!$D$2:$D$333,$A85)</f>
        <v>3</v>
      </c>
      <c r="M85" s="9"/>
      <c r="N85" s="9" t="s">
        <v>37</v>
      </c>
      <c r="O85" s="9"/>
      <c r="P85" s="9"/>
      <c r="Q85" s="9"/>
      <c r="R85" s="9"/>
      <c r="S85" s="9"/>
      <c r="T85" s="9"/>
      <c r="U85" s="9" t="s">
        <v>39</v>
      </c>
      <c r="V85" s="9" t="s">
        <v>39</v>
      </c>
      <c r="W85" s="9" t="s">
        <v>40</v>
      </c>
      <c r="X85" s="10"/>
      <c r="Y85" s="38" t="s">
        <v>39</v>
      </c>
      <c r="Z85" s="41">
        <v>0</v>
      </c>
      <c r="AA85" s="44"/>
      <c r="AB85" s="44"/>
      <c r="AC85" s="5"/>
    </row>
    <row r="86" spans="1:29">
      <c r="A86" s="20" t="s">
        <v>355</v>
      </c>
      <c r="B86" s="9" t="s">
        <v>356</v>
      </c>
      <c r="C86" s="23">
        <v>9</v>
      </c>
      <c r="D86" s="26" t="s">
        <v>357</v>
      </c>
      <c r="E86" s="9" t="s">
        <v>358</v>
      </c>
      <c r="F86" s="9" t="s">
        <v>121</v>
      </c>
      <c r="G86" s="9" t="s">
        <v>58</v>
      </c>
      <c r="H86" s="9" t="s">
        <v>35</v>
      </c>
      <c r="I86" s="14" t="e">
        <f ca="1">_xludf.MINIFS(VARIAN_STOK!$H$2:$H$333,VARIAN_STOK!$D$2:$D$333,$A86)</f>
        <v>#NAME?</v>
      </c>
      <c r="J86" s="14" t="e">
        <f ca="1">_xludf.MAXIFS(VARIAN_STOK!$H$2:$H$333,VARIAN_STOK!$D$2:$D$333,$A86)</f>
        <v>#NAME?</v>
      </c>
      <c r="K86" s="17">
        <f>SUMIF(VARIAN_STOK!$D$2:$D$333,$A86,VARIAN_STOK!$I$2:$I$333)</f>
        <v>1</v>
      </c>
      <c r="L86" s="17">
        <f>COUNTIF(VARIAN_STOK!$D$2:$D$333,$A86)</f>
        <v>1</v>
      </c>
      <c r="M86" s="9"/>
      <c r="N86" s="9"/>
      <c r="O86" s="9"/>
      <c r="P86" s="9"/>
      <c r="Q86" s="9"/>
      <c r="R86" s="9"/>
      <c r="S86" s="9"/>
      <c r="T86" s="9"/>
      <c r="U86" s="9" t="s">
        <v>39</v>
      </c>
      <c r="V86" s="9" t="s">
        <v>39</v>
      </c>
      <c r="W86" s="9" t="s">
        <v>40</v>
      </c>
      <c r="X86" s="10"/>
      <c r="Y86" s="38" t="s">
        <v>39</v>
      </c>
      <c r="Z86" s="41">
        <v>0</v>
      </c>
      <c r="AA86" s="44"/>
      <c r="AB86" s="44"/>
      <c r="AC86" s="5"/>
    </row>
    <row r="87" spans="1:29">
      <c r="A87" s="20" t="s">
        <v>359</v>
      </c>
      <c r="B87" s="9" t="s">
        <v>360</v>
      </c>
      <c r="C87" s="23">
        <v>9</v>
      </c>
      <c r="D87" s="26" t="s">
        <v>357</v>
      </c>
      <c r="E87" s="9" t="s">
        <v>361</v>
      </c>
      <c r="F87" s="9" t="s">
        <v>121</v>
      </c>
      <c r="G87" s="9" t="s">
        <v>58</v>
      </c>
      <c r="H87" s="9" t="s">
        <v>35</v>
      </c>
      <c r="I87" s="14" t="e">
        <f ca="1">_xludf.MINIFS(VARIAN_STOK!$H$2:$H$333,VARIAN_STOK!$D$2:$D$333,$A87)</f>
        <v>#NAME?</v>
      </c>
      <c r="J87" s="14" t="e">
        <f ca="1">_xludf.MAXIFS(VARIAN_STOK!$H$2:$H$333,VARIAN_STOK!$D$2:$D$333,$A87)</f>
        <v>#NAME?</v>
      </c>
      <c r="K87" s="17">
        <f>SUMIF(VARIAN_STOK!$D$2:$D$333,$A87,VARIAN_STOK!$I$2:$I$333)</f>
        <v>3</v>
      </c>
      <c r="L87" s="17">
        <f>COUNTIF(VARIAN_STOK!$D$2:$D$333,$A87)</f>
        <v>3</v>
      </c>
      <c r="M87" s="9" t="s">
        <v>362</v>
      </c>
      <c r="N87" s="9"/>
      <c r="O87" s="9"/>
      <c r="P87" s="9"/>
      <c r="Q87" s="9"/>
      <c r="R87" s="9"/>
      <c r="S87" s="9"/>
      <c r="T87" s="9"/>
      <c r="U87" s="9" t="s">
        <v>39</v>
      </c>
      <c r="V87" s="9" t="s">
        <v>39</v>
      </c>
      <c r="W87" s="9" t="s">
        <v>40</v>
      </c>
      <c r="X87" s="10"/>
      <c r="Y87" s="38" t="s">
        <v>39</v>
      </c>
      <c r="Z87" s="41">
        <v>0</v>
      </c>
      <c r="AA87" s="44"/>
      <c r="AB87" s="44"/>
      <c r="AC87" s="5"/>
    </row>
    <row r="88" spans="1:29">
      <c r="A88" s="20" t="s">
        <v>363</v>
      </c>
      <c r="B88" s="9" t="s">
        <v>364</v>
      </c>
      <c r="C88" s="23">
        <v>9</v>
      </c>
      <c r="D88" s="26" t="s">
        <v>357</v>
      </c>
      <c r="E88" s="9" t="s">
        <v>365</v>
      </c>
      <c r="F88" s="9" t="s">
        <v>48</v>
      </c>
      <c r="G88" s="9" t="s">
        <v>58</v>
      </c>
      <c r="H88" s="9" t="s">
        <v>35</v>
      </c>
      <c r="I88" s="14" t="e">
        <f ca="1">_xludf.MINIFS(VARIAN_STOK!$H$2:$H$333,VARIAN_STOK!$D$2:$D$333,$A88)</f>
        <v>#NAME?</v>
      </c>
      <c r="J88" s="14" t="e">
        <f ca="1">_xludf.MAXIFS(VARIAN_STOK!$H$2:$H$333,VARIAN_STOK!$D$2:$D$333,$A88)</f>
        <v>#NAME?</v>
      </c>
      <c r="K88" s="17">
        <f>SUMIF(VARIAN_STOK!$D$2:$D$333,$A88,VARIAN_STOK!$I$2:$I$333)</f>
        <v>3</v>
      </c>
      <c r="L88" s="17">
        <f>COUNTIF(VARIAN_STOK!$D$2:$D$333,$A88)</f>
        <v>2</v>
      </c>
      <c r="M88" s="9" t="s">
        <v>366</v>
      </c>
      <c r="N88" s="9"/>
      <c r="O88" s="9"/>
      <c r="P88" s="9"/>
      <c r="Q88" s="9"/>
      <c r="R88" s="9"/>
      <c r="S88" s="9"/>
      <c r="T88" s="9"/>
      <c r="U88" s="9" t="s">
        <v>39</v>
      </c>
      <c r="V88" s="9" t="s">
        <v>39</v>
      </c>
      <c r="W88" s="9" t="s">
        <v>40</v>
      </c>
      <c r="X88" s="10"/>
      <c r="Y88" s="38" t="s">
        <v>39</v>
      </c>
      <c r="Z88" s="41">
        <v>0</v>
      </c>
      <c r="AA88" s="44"/>
      <c r="AB88" s="44"/>
      <c r="AC88" s="5"/>
    </row>
    <row r="89" spans="1:29">
      <c r="A89" s="20" t="s">
        <v>367</v>
      </c>
      <c r="B89" s="9" t="s">
        <v>368</v>
      </c>
      <c r="C89" s="23">
        <v>10</v>
      </c>
      <c r="D89" s="26" t="s">
        <v>369</v>
      </c>
      <c r="E89" s="9" t="s">
        <v>370</v>
      </c>
      <c r="F89" s="9" t="s">
        <v>371</v>
      </c>
      <c r="G89" s="9" t="s">
        <v>58</v>
      </c>
      <c r="H89" s="9" t="s">
        <v>35</v>
      </c>
      <c r="I89" s="14" t="e">
        <f ca="1">_xludf.MINIFS(VARIAN_STOK!$H$2:$H$333,VARIAN_STOK!$D$2:$D$333,$A89)</f>
        <v>#NAME?</v>
      </c>
      <c r="J89" s="14" t="e">
        <f ca="1">_xludf.MAXIFS(VARIAN_STOK!$H$2:$H$333,VARIAN_STOK!$D$2:$D$333,$A89)</f>
        <v>#NAME?</v>
      </c>
      <c r="K89" s="17">
        <f>SUMIF(VARIAN_STOK!$D$2:$D$333,$A89,VARIAN_STOK!$I$2:$I$333)</f>
        <v>1</v>
      </c>
      <c r="L89" s="17">
        <f>COUNTIF(VARIAN_STOK!$D$2:$D$333,$A89)</f>
        <v>1</v>
      </c>
      <c r="M89" s="9" t="s">
        <v>372</v>
      </c>
      <c r="N89" s="9"/>
      <c r="O89" s="9"/>
      <c r="P89" s="9"/>
      <c r="Q89" s="9"/>
      <c r="R89" s="9"/>
      <c r="S89" s="9"/>
      <c r="T89" s="9"/>
      <c r="U89" s="9" t="s">
        <v>39</v>
      </c>
      <c r="V89" s="9" t="s">
        <v>39</v>
      </c>
      <c r="W89" s="9" t="s">
        <v>40</v>
      </c>
      <c r="X89" s="10"/>
      <c r="Y89" s="38" t="s">
        <v>39</v>
      </c>
      <c r="Z89" s="41">
        <v>0</v>
      </c>
      <c r="AA89" s="44"/>
      <c r="AB89" s="44"/>
      <c r="AC89" s="5"/>
    </row>
    <row r="90" spans="1:29">
      <c r="A90" s="20" t="s">
        <v>373</v>
      </c>
      <c r="B90" s="9" t="s">
        <v>374</v>
      </c>
      <c r="C90" s="23">
        <v>10</v>
      </c>
      <c r="D90" s="26" t="s">
        <v>369</v>
      </c>
      <c r="E90" s="9" t="s">
        <v>375</v>
      </c>
      <c r="F90" s="9" t="s">
        <v>33</v>
      </c>
      <c r="G90" s="9" t="s">
        <v>58</v>
      </c>
      <c r="H90" s="9" t="s">
        <v>35</v>
      </c>
      <c r="I90" s="14" t="e">
        <f ca="1">_xludf.MINIFS(VARIAN_STOK!$H$2:$H$333,VARIAN_STOK!$D$2:$D$333,$A90)</f>
        <v>#NAME?</v>
      </c>
      <c r="J90" s="14" t="e">
        <f ca="1">_xludf.MAXIFS(VARIAN_STOK!$H$2:$H$333,VARIAN_STOK!$D$2:$D$333,$A90)</f>
        <v>#NAME?</v>
      </c>
      <c r="K90" s="17">
        <f>SUMIF(VARIAN_STOK!$D$2:$D$333,$A90,VARIAN_STOK!$I$2:$I$333)</f>
        <v>4</v>
      </c>
      <c r="L90" s="17">
        <f>COUNTIF(VARIAN_STOK!$D$2:$D$333,$A90)</f>
        <v>2</v>
      </c>
      <c r="M90" s="9" t="s">
        <v>376</v>
      </c>
      <c r="N90" s="9" t="s">
        <v>377</v>
      </c>
      <c r="O90" s="9"/>
      <c r="P90" s="9"/>
      <c r="Q90" s="9"/>
      <c r="R90" s="9"/>
      <c r="S90" s="9"/>
      <c r="T90" s="9"/>
      <c r="U90" s="9" t="s">
        <v>39</v>
      </c>
      <c r="V90" s="9" t="s">
        <v>39</v>
      </c>
      <c r="W90" s="9" t="s">
        <v>40</v>
      </c>
      <c r="X90" s="10"/>
      <c r="Y90" s="38" t="s">
        <v>39</v>
      </c>
      <c r="Z90" s="41">
        <v>0</v>
      </c>
      <c r="AA90" s="44"/>
      <c r="AB90" s="44"/>
      <c r="AC90" s="5"/>
    </row>
    <row r="91" spans="1:29">
      <c r="A91" s="20" t="s">
        <v>378</v>
      </c>
      <c r="B91" s="9" t="s">
        <v>379</v>
      </c>
      <c r="C91" s="23">
        <v>10</v>
      </c>
      <c r="D91" s="26" t="s">
        <v>369</v>
      </c>
      <c r="E91" s="9" t="s">
        <v>380</v>
      </c>
      <c r="F91" s="9" t="s">
        <v>33</v>
      </c>
      <c r="G91" s="9" t="s">
        <v>34</v>
      </c>
      <c r="H91" s="9" t="s">
        <v>35</v>
      </c>
      <c r="I91" s="14" t="e">
        <f ca="1">_xludf.MINIFS(VARIAN_STOK!$H$2:$H$333,VARIAN_STOK!$D$2:$D$333,$A91)</f>
        <v>#NAME?</v>
      </c>
      <c r="J91" s="14" t="e">
        <f ca="1">_xludf.MAXIFS(VARIAN_STOK!$H$2:$H$333,VARIAN_STOK!$D$2:$D$333,$A91)</f>
        <v>#NAME?</v>
      </c>
      <c r="K91" s="17">
        <f>SUMIF(VARIAN_STOK!$D$2:$D$333,$A91,VARIAN_STOK!$I$2:$I$333)</f>
        <v>1</v>
      </c>
      <c r="L91" s="17">
        <f>COUNTIF(VARIAN_STOK!$D$2:$D$333,$A91)</f>
        <v>1</v>
      </c>
      <c r="M91" s="9" t="s">
        <v>381</v>
      </c>
      <c r="N91" s="9" t="s">
        <v>382</v>
      </c>
      <c r="O91" s="9"/>
      <c r="P91" s="9"/>
      <c r="Q91" s="9"/>
      <c r="R91" s="9"/>
      <c r="S91" s="9"/>
      <c r="T91" s="9"/>
      <c r="U91" s="9" t="s">
        <v>39</v>
      </c>
      <c r="V91" s="9" t="s">
        <v>39</v>
      </c>
      <c r="W91" s="9" t="s">
        <v>40</v>
      </c>
      <c r="X91" s="10"/>
      <c r="Y91" s="38" t="s">
        <v>39</v>
      </c>
      <c r="Z91" s="41">
        <v>0</v>
      </c>
      <c r="AA91" s="44"/>
      <c r="AB91" s="44"/>
      <c r="AC91" s="5"/>
    </row>
    <row r="92" spans="1:29">
      <c r="A92" s="20" t="s">
        <v>383</v>
      </c>
      <c r="B92" s="9" t="s">
        <v>384</v>
      </c>
      <c r="C92" s="23">
        <v>10</v>
      </c>
      <c r="D92" s="26" t="s">
        <v>369</v>
      </c>
      <c r="E92" s="9" t="s">
        <v>385</v>
      </c>
      <c r="F92" s="9" t="s">
        <v>239</v>
      </c>
      <c r="G92" s="9" t="s">
        <v>58</v>
      </c>
      <c r="H92" s="9" t="s">
        <v>35</v>
      </c>
      <c r="I92" s="14" t="e">
        <f ca="1">_xludf.MINIFS(VARIAN_STOK!$H$2:$H$333,VARIAN_STOK!$D$2:$D$333,$A92)</f>
        <v>#NAME?</v>
      </c>
      <c r="J92" s="14" t="e">
        <f ca="1">_xludf.MAXIFS(VARIAN_STOK!$H$2:$H$333,VARIAN_STOK!$D$2:$D$333,$A92)</f>
        <v>#NAME?</v>
      </c>
      <c r="K92" s="17">
        <f>SUMIF(VARIAN_STOK!$D$2:$D$333,$A92,VARIAN_STOK!$I$2:$I$333)</f>
        <v>2</v>
      </c>
      <c r="L92" s="17">
        <f>COUNTIF(VARIAN_STOK!$D$2:$D$333,$A92)</f>
        <v>1</v>
      </c>
      <c r="M92" s="9" t="s">
        <v>386</v>
      </c>
      <c r="N92" s="9"/>
      <c r="O92" s="9"/>
      <c r="P92" s="9"/>
      <c r="Q92" s="9"/>
      <c r="R92" s="9"/>
      <c r="S92" s="9"/>
      <c r="T92" s="9"/>
      <c r="U92" s="9" t="s">
        <v>39</v>
      </c>
      <c r="V92" s="9" t="s">
        <v>39</v>
      </c>
      <c r="W92" s="9" t="s">
        <v>40</v>
      </c>
      <c r="X92" s="10"/>
      <c r="Y92" s="38" t="s">
        <v>39</v>
      </c>
      <c r="Z92" s="41">
        <v>0</v>
      </c>
      <c r="AA92" s="44"/>
      <c r="AB92" s="44"/>
      <c r="AC92" s="5"/>
    </row>
    <row r="93" spans="1:29">
      <c r="A93" s="20" t="s">
        <v>387</v>
      </c>
      <c r="B93" s="9" t="s">
        <v>388</v>
      </c>
      <c r="C93" s="23">
        <v>10</v>
      </c>
      <c r="D93" s="26" t="s">
        <v>369</v>
      </c>
      <c r="E93" s="9" t="s">
        <v>389</v>
      </c>
      <c r="F93" s="9" t="s">
        <v>239</v>
      </c>
      <c r="G93" s="9" t="s">
        <v>58</v>
      </c>
      <c r="H93" s="9" t="s">
        <v>35</v>
      </c>
      <c r="I93" s="14" t="e">
        <f ca="1">_xludf.MINIFS(VARIAN_STOK!$H$2:$H$333,VARIAN_STOK!$D$2:$D$333,$A93)</f>
        <v>#NAME?</v>
      </c>
      <c r="J93" s="14" t="e">
        <f ca="1">_xludf.MAXIFS(VARIAN_STOK!$H$2:$H$333,VARIAN_STOK!$D$2:$D$333,$A93)</f>
        <v>#NAME?</v>
      </c>
      <c r="K93" s="17">
        <f>SUMIF(VARIAN_STOK!$D$2:$D$333,$A93,VARIAN_STOK!$I$2:$I$333)</f>
        <v>2</v>
      </c>
      <c r="L93" s="17">
        <f>COUNTIF(VARIAN_STOK!$D$2:$D$333,$A93)</f>
        <v>1</v>
      </c>
      <c r="M93" s="9" t="s">
        <v>390</v>
      </c>
      <c r="N93" s="9"/>
      <c r="O93" s="9"/>
      <c r="P93" s="9"/>
      <c r="Q93" s="9"/>
      <c r="R93" s="9"/>
      <c r="S93" s="9"/>
      <c r="T93" s="9"/>
      <c r="U93" s="9" t="s">
        <v>39</v>
      </c>
      <c r="V93" s="9" t="s">
        <v>39</v>
      </c>
      <c r="W93" s="9" t="s">
        <v>40</v>
      </c>
      <c r="X93" s="10"/>
      <c r="Y93" s="38" t="s">
        <v>39</v>
      </c>
      <c r="Z93" s="41">
        <v>0</v>
      </c>
      <c r="AA93" s="44"/>
      <c r="AB93" s="44"/>
      <c r="AC93" s="5"/>
    </row>
    <row r="94" spans="1:29">
      <c r="A94" s="20" t="s">
        <v>391</v>
      </c>
      <c r="B94" s="9" t="s">
        <v>392</v>
      </c>
      <c r="C94" s="23">
        <v>10</v>
      </c>
      <c r="D94" s="26" t="s">
        <v>369</v>
      </c>
      <c r="E94" s="9" t="s">
        <v>393</v>
      </c>
      <c r="F94" s="9" t="s">
        <v>239</v>
      </c>
      <c r="G94" s="9" t="s">
        <v>58</v>
      </c>
      <c r="H94" s="9" t="s">
        <v>35</v>
      </c>
      <c r="I94" s="14" t="e">
        <f ca="1">_xludf.MINIFS(VARIAN_STOK!$H$2:$H$333,VARIAN_STOK!$D$2:$D$333,$A94)</f>
        <v>#NAME?</v>
      </c>
      <c r="J94" s="14" t="e">
        <f ca="1">_xludf.MAXIFS(VARIAN_STOK!$H$2:$H$333,VARIAN_STOK!$D$2:$D$333,$A94)</f>
        <v>#NAME?</v>
      </c>
      <c r="K94" s="17">
        <f>SUMIF(VARIAN_STOK!$D$2:$D$333,$A94,VARIAN_STOK!$I$2:$I$333)</f>
        <v>1</v>
      </c>
      <c r="L94" s="17">
        <f>COUNTIF(VARIAN_STOK!$D$2:$D$333,$A94)</f>
        <v>1</v>
      </c>
      <c r="M94" s="9" t="s">
        <v>394</v>
      </c>
      <c r="N94" s="9"/>
      <c r="O94" s="9"/>
      <c r="P94" s="9"/>
      <c r="Q94" s="9"/>
      <c r="R94" s="9"/>
      <c r="S94" s="9"/>
      <c r="T94" s="9"/>
      <c r="U94" s="9" t="s">
        <v>39</v>
      </c>
      <c r="V94" s="9" t="s">
        <v>39</v>
      </c>
      <c r="W94" s="9" t="s">
        <v>40</v>
      </c>
      <c r="X94" s="10"/>
      <c r="Y94" s="38" t="s">
        <v>39</v>
      </c>
      <c r="Z94" s="41">
        <v>0</v>
      </c>
      <c r="AA94" s="44"/>
      <c r="AB94" s="44"/>
      <c r="AC94" s="5"/>
    </row>
    <row r="95" spans="1:29">
      <c r="A95" s="20" t="s">
        <v>395</v>
      </c>
      <c r="B95" s="9" t="s">
        <v>396</v>
      </c>
      <c r="C95" s="23">
        <v>10</v>
      </c>
      <c r="D95" s="26" t="s">
        <v>369</v>
      </c>
      <c r="E95" s="9" t="s">
        <v>397</v>
      </c>
      <c r="F95" s="9" t="s">
        <v>48</v>
      </c>
      <c r="G95" s="9" t="s">
        <v>58</v>
      </c>
      <c r="H95" s="9" t="s">
        <v>35</v>
      </c>
      <c r="I95" s="14" t="e">
        <f ca="1">_xludf.MINIFS(VARIAN_STOK!$H$2:$H$333,VARIAN_STOK!$D$2:$D$333,$A95)</f>
        <v>#NAME?</v>
      </c>
      <c r="J95" s="14" t="e">
        <f ca="1">_xludf.MAXIFS(VARIAN_STOK!$H$2:$H$333,VARIAN_STOK!$D$2:$D$333,$A95)</f>
        <v>#NAME?</v>
      </c>
      <c r="K95" s="17">
        <f>SUMIF(VARIAN_STOK!$D$2:$D$333,$A95,VARIAN_STOK!$I$2:$I$333)</f>
        <v>2</v>
      </c>
      <c r="L95" s="17">
        <f>COUNTIF(VARIAN_STOK!$D$2:$D$333,$A95)</f>
        <v>1</v>
      </c>
      <c r="M95" s="9" t="s">
        <v>398</v>
      </c>
      <c r="N95" s="9" t="s">
        <v>399</v>
      </c>
      <c r="O95" s="9"/>
      <c r="P95" s="9"/>
      <c r="Q95" s="9"/>
      <c r="R95" s="9"/>
      <c r="S95" s="9"/>
      <c r="T95" s="9"/>
      <c r="U95" s="9" t="s">
        <v>39</v>
      </c>
      <c r="V95" s="9" t="s">
        <v>39</v>
      </c>
      <c r="W95" s="9" t="s">
        <v>40</v>
      </c>
      <c r="X95" s="10"/>
      <c r="Y95" s="38" t="s">
        <v>39</v>
      </c>
      <c r="Z95" s="41">
        <v>0</v>
      </c>
      <c r="AA95" s="44"/>
      <c r="AB95" s="44"/>
      <c r="AC95" s="5"/>
    </row>
    <row r="96" spans="1:29">
      <c r="A96" s="20" t="s">
        <v>400</v>
      </c>
      <c r="B96" s="9" t="s">
        <v>401</v>
      </c>
      <c r="C96" s="23">
        <v>10</v>
      </c>
      <c r="D96" s="26" t="s">
        <v>369</v>
      </c>
      <c r="E96" s="9" t="s">
        <v>402</v>
      </c>
      <c r="F96" s="9" t="s">
        <v>48</v>
      </c>
      <c r="G96" s="9" t="s">
        <v>58</v>
      </c>
      <c r="H96" s="9" t="s">
        <v>35</v>
      </c>
      <c r="I96" s="14" t="e">
        <f ca="1">_xludf.MINIFS(VARIAN_STOK!$H$2:$H$333,VARIAN_STOK!$D$2:$D$333,$A96)</f>
        <v>#NAME?</v>
      </c>
      <c r="J96" s="14" t="e">
        <f ca="1">_xludf.MAXIFS(VARIAN_STOK!$H$2:$H$333,VARIAN_STOK!$D$2:$D$333,$A96)</f>
        <v>#NAME?</v>
      </c>
      <c r="K96" s="17">
        <f>SUMIF(VARIAN_STOK!$D$2:$D$333,$A96,VARIAN_STOK!$I$2:$I$333)</f>
        <v>6</v>
      </c>
      <c r="L96" s="17">
        <f>COUNTIF(VARIAN_STOK!$D$2:$D$333,$A96)</f>
        <v>4</v>
      </c>
      <c r="M96" s="9" t="s">
        <v>403</v>
      </c>
      <c r="N96" s="9" t="s">
        <v>404</v>
      </c>
      <c r="O96" s="9"/>
      <c r="P96" s="9"/>
      <c r="Q96" s="9"/>
      <c r="R96" s="9"/>
      <c r="S96" s="9"/>
      <c r="T96" s="9"/>
      <c r="U96" s="9" t="s">
        <v>39</v>
      </c>
      <c r="V96" s="9" t="s">
        <v>39</v>
      </c>
      <c r="W96" s="9" t="s">
        <v>40</v>
      </c>
      <c r="X96" s="10"/>
      <c r="Y96" s="38" t="s">
        <v>39</v>
      </c>
      <c r="Z96" s="41">
        <v>0</v>
      </c>
      <c r="AA96" s="44"/>
      <c r="AB96" s="44"/>
      <c r="AC96" s="5"/>
    </row>
    <row r="97" spans="1:29">
      <c r="A97" s="20" t="s">
        <v>405</v>
      </c>
      <c r="B97" s="9" t="s">
        <v>406</v>
      </c>
      <c r="C97" s="23">
        <v>10</v>
      </c>
      <c r="D97" s="26" t="s">
        <v>369</v>
      </c>
      <c r="E97" s="9" t="s">
        <v>407</v>
      </c>
      <c r="F97" s="9" t="s">
        <v>48</v>
      </c>
      <c r="G97" s="9" t="s">
        <v>58</v>
      </c>
      <c r="H97" s="9" t="s">
        <v>35</v>
      </c>
      <c r="I97" s="14" t="e">
        <f ca="1">_xludf.MINIFS(VARIAN_STOK!$H$2:$H$333,VARIAN_STOK!$D$2:$D$333,$A97)</f>
        <v>#NAME?</v>
      </c>
      <c r="J97" s="14" t="e">
        <f ca="1">_xludf.MAXIFS(VARIAN_STOK!$H$2:$H$333,VARIAN_STOK!$D$2:$D$333,$A97)</f>
        <v>#NAME?</v>
      </c>
      <c r="K97" s="17">
        <f>SUMIF(VARIAN_STOK!$D$2:$D$333,$A97,VARIAN_STOK!$I$2:$I$333)</f>
        <v>10</v>
      </c>
      <c r="L97" s="17">
        <f>COUNTIF(VARIAN_STOK!$D$2:$D$333,$A97)</f>
        <v>8</v>
      </c>
      <c r="M97" s="9" t="s">
        <v>408</v>
      </c>
      <c r="N97" s="9" t="s">
        <v>37</v>
      </c>
      <c r="O97" s="9"/>
      <c r="P97" s="9"/>
      <c r="Q97" s="9"/>
      <c r="R97" s="9"/>
      <c r="S97" s="9"/>
      <c r="T97" s="9"/>
      <c r="U97" s="9" t="s">
        <v>39</v>
      </c>
      <c r="V97" s="9" t="s">
        <v>39</v>
      </c>
      <c r="W97" s="9" t="s">
        <v>40</v>
      </c>
      <c r="X97" s="10"/>
      <c r="Y97" s="38" t="s">
        <v>39</v>
      </c>
      <c r="Z97" s="41">
        <v>0</v>
      </c>
      <c r="AA97" s="44"/>
      <c r="AB97" s="44"/>
      <c r="AC97" s="5"/>
    </row>
    <row r="98" spans="1:29">
      <c r="A98" s="20" t="s">
        <v>409</v>
      </c>
      <c r="B98" s="9" t="s">
        <v>410</v>
      </c>
      <c r="C98" s="23">
        <v>10</v>
      </c>
      <c r="D98" s="26" t="s">
        <v>369</v>
      </c>
      <c r="E98" s="9" t="s">
        <v>411</v>
      </c>
      <c r="F98" s="9" t="s">
        <v>48</v>
      </c>
      <c r="G98" s="9" t="s">
        <v>34</v>
      </c>
      <c r="H98" s="9" t="s">
        <v>35</v>
      </c>
      <c r="I98" s="14" t="e">
        <f ca="1">_xludf.MINIFS(VARIAN_STOK!$H$2:$H$333,VARIAN_STOK!$D$2:$D$333,$A98)</f>
        <v>#NAME?</v>
      </c>
      <c r="J98" s="14" t="e">
        <f ca="1">_xludf.MAXIFS(VARIAN_STOK!$H$2:$H$333,VARIAN_STOK!$D$2:$D$333,$A98)</f>
        <v>#NAME?</v>
      </c>
      <c r="K98" s="17">
        <f>SUMIF(VARIAN_STOK!$D$2:$D$333,$A98,VARIAN_STOK!$I$2:$I$333)</f>
        <v>5</v>
      </c>
      <c r="L98" s="17">
        <f>COUNTIF(VARIAN_STOK!$D$2:$D$333,$A98)</f>
        <v>5</v>
      </c>
      <c r="M98" s="9" t="s">
        <v>412</v>
      </c>
      <c r="N98" s="9" t="s">
        <v>413</v>
      </c>
      <c r="O98" s="9"/>
      <c r="P98" s="9"/>
      <c r="Q98" s="9"/>
      <c r="R98" s="9"/>
      <c r="S98" s="9"/>
      <c r="T98" s="9"/>
      <c r="U98" s="9" t="s">
        <v>39</v>
      </c>
      <c r="V98" s="9" t="s">
        <v>39</v>
      </c>
      <c r="W98" s="9" t="s">
        <v>40</v>
      </c>
      <c r="X98" s="10"/>
      <c r="Y98" s="38" t="s">
        <v>39</v>
      </c>
      <c r="Z98" s="41">
        <v>0</v>
      </c>
      <c r="AA98" s="44"/>
      <c r="AB98" s="44"/>
      <c r="AC98" s="5"/>
    </row>
    <row r="99" spans="1:29">
      <c r="A99" s="20" t="s">
        <v>414</v>
      </c>
      <c r="B99" s="9" t="s">
        <v>415</v>
      </c>
      <c r="C99" s="23">
        <v>11</v>
      </c>
      <c r="D99" s="26" t="s">
        <v>416</v>
      </c>
      <c r="E99" s="9" t="s">
        <v>417</v>
      </c>
      <c r="F99" s="9" t="s">
        <v>57</v>
      </c>
      <c r="G99" s="9" t="s">
        <v>58</v>
      </c>
      <c r="H99" s="9" t="s">
        <v>35</v>
      </c>
      <c r="I99" s="14" t="e">
        <f ca="1">_xludf.MINIFS(VARIAN_STOK!$H$2:$H$333,VARIAN_STOK!$D$2:$D$333,$A99)</f>
        <v>#NAME?</v>
      </c>
      <c r="J99" s="14" t="e">
        <f ca="1">_xludf.MAXIFS(VARIAN_STOK!$H$2:$H$333,VARIAN_STOK!$D$2:$D$333,$A99)</f>
        <v>#NAME?</v>
      </c>
      <c r="K99" s="17">
        <f>SUMIF(VARIAN_STOK!$D$2:$D$333,$A99,VARIAN_STOK!$I$2:$I$333)</f>
        <v>11</v>
      </c>
      <c r="L99" s="17">
        <f>COUNTIF(VARIAN_STOK!$D$2:$D$333,$A99)</f>
        <v>1</v>
      </c>
      <c r="M99" s="9"/>
      <c r="N99" s="9"/>
      <c r="O99" s="9"/>
      <c r="P99" s="9"/>
      <c r="Q99" s="9"/>
      <c r="R99" s="9"/>
      <c r="S99" s="9"/>
      <c r="T99" s="9"/>
      <c r="U99" s="9" t="s">
        <v>39</v>
      </c>
      <c r="V99" s="9" t="s">
        <v>39</v>
      </c>
      <c r="W99" s="9" t="s">
        <v>40</v>
      </c>
      <c r="X99" s="10"/>
      <c r="Y99" s="38" t="s">
        <v>39</v>
      </c>
      <c r="Z99" s="41">
        <v>0</v>
      </c>
      <c r="AA99" s="44"/>
      <c r="AB99" s="44"/>
      <c r="AC99" s="5"/>
    </row>
    <row r="100" spans="1:29">
      <c r="A100" s="20" t="s">
        <v>418</v>
      </c>
      <c r="B100" s="9" t="s">
        <v>419</v>
      </c>
      <c r="C100" s="23">
        <v>11</v>
      </c>
      <c r="D100" s="26" t="s">
        <v>416</v>
      </c>
      <c r="E100" s="9" t="s">
        <v>420</v>
      </c>
      <c r="F100" s="9" t="s">
        <v>57</v>
      </c>
      <c r="G100" s="9" t="s">
        <v>58</v>
      </c>
      <c r="H100" s="9" t="s">
        <v>35</v>
      </c>
      <c r="I100" s="14" t="e">
        <f ca="1">_xludf.MINIFS(VARIAN_STOK!$H$2:$H$333,VARIAN_STOK!$D$2:$D$333,$A100)</f>
        <v>#NAME?</v>
      </c>
      <c r="J100" s="14" t="e">
        <f ca="1">_xludf.MAXIFS(VARIAN_STOK!$H$2:$H$333,VARIAN_STOK!$D$2:$D$333,$A100)</f>
        <v>#NAME?</v>
      </c>
      <c r="K100" s="17">
        <f>SUMIF(VARIAN_STOK!$D$2:$D$333,$A100,VARIAN_STOK!$I$2:$I$333)</f>
        <v>3</v>
      </c>
      <c r="L100" s="17">
        <f>COUNTIF(VARIAN_STOK!$D$2:$D$333,$A100)</f>
        <v>2</v>
      </c>
      <c r="M100" s="9" t="s">
        <v>421</v>
      </c>
      <c r="N100" s="9"/>
      <c r="O100" s="9"/>
      <c r="P100" s="9"/>
      <c r="Q100" s="9"/>
      <c r="R100" s="9"/>
      <c r="S100" s="9"/>
      <c r="T100" s="9"/>
      <c r="U100" s="9" t="s">
        <v>39</v>
      </c>
      <c r="V100" s="9" t="s">
        <v>39</v>
      </c>
      <c r="W100" s="9" t="s">
        <v>40</v>
      </c>
      <c r="X100" s="10"/>
      <c r="Y100" s="38" t="s">
        <v>39</v>
      </c>
      <c r="Z100" s="41">
        <v>0</v>
      </c>
      <c r="AA100" s="44"/>
      <c r="AB100" s="44"/>
      <c r="AC100" s="5"/>
    </row>
    <row r="101" spans="1:29">
      <c r="A101" s="20" t="s">
        <v>422</v>
      </c>
      <c r="B101" s="9" t="s">
        <v>423</v>
      </c>
      <c r="C101" s="23">
        <v>11</v>
      </c>
      <c r="D101" s="26" t="s">
        <v>416</v>
      </c>
      <c r="E101" s="9" t="s">
        <v>424</v>
      </c>
      <c r="F101" s="9" t="s">
        <v>57</v>
      </c>
      <c r="G101" s="9" t="s">
        <v>58</v>
      </c>
      <c r="H101" s="9" t="s">
        <v>35</v>
      </c>
      <c r="I101" s="14" t="e">
        <f ca="1">_xludf.MINIFS(VARIAN_STOK!$H$2:$H$333,VARIAN_STOK!$D$2:$D$333,$A101)</f>
        <v>#NAME?</v>
      </c>
      <c r="J101" s="14" t="e">
        <f ca="1">_xludf.MAXIFS(VARIAN_STOK!$H$2:$H$333,VARIAN_STOK!$D$2:$D$333,$A101)</f>
        <v>#NAME?</v>
      </c>
      <c r="K101" s="17">
        <f>SUMIF(VARIAN_STOK!$D$2:$D$333,$A101,VARIAN_STOK!$I$2:$I$333)</f>
        <v>1</v>
      </c>
      <c r="L101" s="17">
        <f>COUNTIF(VARIAN_STOK!$D$2:$D$333,$A101)</f>
        <v>1</v>
      </c>
      <c r="M101" s="9" t="s">
        <v>425</v>
      </c>
      <c r="N101" s="9"/>
      <c r="O101" s="9"/>
      <c r="P101" s="9"/>
      <c r="Q101" s="9"/>
      <c r="R101" s="9"/>
      <c r="S101" s="9"/>
      <c r="T101" s="9"/>
      <c r="U101" s="9" t="s">
        <v>39</v>
      </c>
      <c r="V101" s="9" t="s">
        <v>39</v>
      </c>
      <c r="W101" s="9" t="s">
        <v>40</v>
      </c>
      <c r="X101" s="10"/>
      <c r="Y101" s="38" t="s">
        <v>39</v>
      </c>
      <c r="Z101" s="41">
        <v>0</v>
      </c>
      <c r="AA101" s="44"/>
      <c r="AB101" s="44"/>
      <c r="AC101" s="5"/>
    </row>
    <row r="102" spans="1:29">
      <c r="A102" s="20" t="s">
        <v>426</v>
      </c>
      <c r="B102" s="9" t="s">
        <v>427</v>
      </c>
      <c r="C102" s="23">
        <v>11</v>
      </c>
      <c r="D102" s="26" t="s">
        <v>416</v>
      </c>
      <c r="E102" s="9" t="s">
        <v>428</v>
      </c>
      <c r="F102" s="9" t="s">
        <v>57</v>
      </c>
      <c r="G102" s="9" t="s">
        <v>58</v>
      </c>
      <c r="H102" s="9" t="s">
        <v>35</v>
      </c>
      <c r="I102" s="14" t="e">
        <f ca="1">_xludf.MINIFS(VARIAN_STOK!$H$2:$H$333,VARIAN_STOK!$D$2:$D$333,$A102)</f>
        <v>#NAME?</v>
      </c>
      <c r="J102" s="14" t="e">
        <f ca="1">_xludf.MAXIFS(VARIAN_STOK!$H$2:$H$333,VARIAN_STOK!$D$2:$D$333,$A102)</f>
        <v>#NAME?</v>
      </c>
      <c r="K102" s="17">
        <f>SUMIF(VARIAN_STOK!$D$2:$D$333,$A102,VARIAN_STOK!$I$2:$I$333)</f>
        <v>3</v>
      </c>
      <c r="L102" s="17">
        <f>COUNTIF(VARIAN_STOK!$D$2:$D$333,$A102)</f>
        <v>2</v>
      </c>
      <c r="M102" s="9" t="s">
        <v>429</v>
      </c>
      <c r="N102" s="9"/>
      <c r="O102" s="9"/>
      <c r="P102" s="9"/>
      <c r="Q102" s="9"/>
      <c r="R102" s="9"/>
      <c r="S102" s="9"/>
      <c r="T102" s="9"/>
      <c r="U102" s="9" t="s">
        <v>39</v>
      </c>
      <c r="V102" s="9" t="s">
        <v>39</v>
      </c>
      <c r="W102" s="9" t="s">
        <v>40</v>
      </c>
      <c r="X102" s="10"/>
      <c r="Y102" s="38" t="s">
        <v>39</v>
      </c>
      <c r="Z102" s="41">
        <v>0</v>
      </c>
      <c r="AA102" s="44"/>
      <c r="AB102" s="44"/>
      <c r="AC102" s="5"/>
    </row>
    <row r="103" spans="1:29">
      <c r="A103" s="20" t="s">
        <v>430</v>
      </c>
      <c r="B103" s="9" t="s">
        <v>431</v>
      </c>
      <c r="C103" s="23">
        <v>11</v>
      </c>
      <c r="D103" s="26" t="s">
        <v>416</v>
      </c>
      <c r="E103" s="9" t="s">
        <v>432</v>
      </c>
      <c r="F103" s="9" t="s">
        <v>239</v>
      </c>
      <c r="G103" s="9" t="s">
        <v>58</v>
      </c>
      <c r="H103" s="9" t="s">
        <v>35</v>
      </c>
      <c r="I103" s="14" t="e">
        <f ca="1">_xludf.MINIFS(VARIAN_STOK!$H$2:$H$333,VARIAN_STOK!$D$2:$D$333,$A103)</f>
        <v>#NAME?</v>
      </c>
      <c r="J103" s="14" t="e">
        <f ca="1">_xludf.MAXIFS(VARIAN_STOK!$H$2:$H$333,VARIAN_STOK!$D$2:$D$333,$A103)</f>
        <v>#NAME?</v>
      </c>
      <c r="K103" s="17">
        <f>SUMIF(VARIAN_STOK!$D$2:$D$333,$A103,VARIAN_STOK!$I$2:$I$333)</f>
        <v>1</v>
      </c>
      <c r="L103" s="17">
        <f>COUNTIF(VARIAN_STOK!$D$2:$D$333,$A103)</f>
        <v>1</v>
      </c>
      <c r="M103" s="9" t="s">
        <v>433</v>
      </c>
      <c r="N103" s="9"/>
      <c r="O103" s="9"/>
      <c r="P103" s="9"/>
      <c r="Q103" s="9"/>
      <c r="R103" s="9"/>
      <c r="S103" s="9"/>
      <c r="T103" s="9"/>
      <c r="U103" s="9" t="s">
        <v>39</v>
      </c>
      <c r="V103" s="9" t="s">
        <v>39</v>
      </c>
      <c r="W103" s="9" t="s">
        <v>40</v>
      </c>
      <c r="X103" s="10"/>
      <c r="Y103" s="38" t="s">
        <v>39</v>
      </c>
      <c r="Z103" s="41">
        <v>0</v>
      </c>
      <c r="AA103" s="44"/>
      <c r="AB103" s="44"/>
      <c r="AC103" s="5"/>
    </row>
    <row r="104" spans="1:29">
      <c r="A104" s="20" t="s">
        <v>434</v>
      </c>
      <c r="B104" s="9" t="s">
        <v>435</v>
      </c>
      <c r="C104" s="23">
        <v>12</v>
      </c>
      <c r="D104" s="26" t="s">
        <v>436</v>
      </c>
      <c r="E104" s="9" t="s">
        <v>437</v>
      </c>
      <c r="F104" s="9" t="s">
        <v>57</v>
      </c>
      <c r="G104" s="9" t="s">
        <v>58</v>
      </c>
      <c r="H104" s="9" t="s">
        <v>35</v>
      </c>
      <c r="I104" s="14" t="e">
        <f ca="1">_xludf.MINIFS(VARIAN_STOK!$H$2:$H$333,VARIAN_STOK!$D$2:$D$333,$A104)</f>
        <v>#NAME?</v>
      </c>
      <c r="J104" s="14" t="e">
        <f ca="1">_xludf.MAXIFS(VARIAN_STOK!$H$2:$H$333,VARIAN_STOK!$D$2:$D$333,$A104)</f>
        <v>#NAME?</v>
      </c>
      <c r="K104" s="17">
        <f>SUMIF(VARIAN_STOK!$D$2:$D$333,$A104,VARIAN_STOK!$I$2:$I$333)</f>
        <v>2</v>
      </c>
      <c r="L104" s="17">
        <f>COUNTIF(VARIAN_STOK!$D$2:$D$333,$A104)</f>
        <v>1</v>
      </c>
      <c r="M104" s="9"/>
      <c r="N104" s="9"/>
      <c r="O104" s="9"/>
      <c r="P104" s="9"/>
      <c r="Q104" s="9"/>
      <c r="R104" s="9"/>
      <c r="S104" s="9"/>
      <c r="T104" s="9"/>
      <c r="U104" s="9" t="s">
        <v>39</v>
      </c>
      <c r="V104" s="9" t="s">
        <v>39</v>
      </c>
      <c r="W104" s="9" t="s">
        <v>40</v>
      </c>
      <c r="X104" s="10"/>
      <c r="Y104" s="38" t="s">
        <v>39</v>
      </c>
      <c r="Z104" s="41">
        <v>0</v>
      </c>
      <c r="AA104" s="44"/>
      <c r="AB104" s="44"/>
      <c r="AC104" s="5"/>
    </row>
    <row r="105" spans="1:29">
      <c r="A105" s="20" t="s">
        <v>438</v>
      </c>
      <c r="B105" s="9" t="s">
        <v>439</v>
      </c>
      <c r="C105" s="23">
        <v>12</v>
      </c>
      <c r="D105" s="26" t="s">
        <v>436</v>
      </c>
      <c r="E105" s="9" t="s">
        <v>440</v>
      </c>
      <c r="F105" s="9" t="s">
        <v>57</v>
      </c>
      <c r="G105" s="9" t="s">
        <v>58</v>
      </c>
      <c r="H105" s="9" t="s">
        <v>35</v>
      </c>
      <c r="I105" s="14" t="e">
        <f ca="1">_xludf.MINIFS(VARIAN_STOK!$H$2:$H$333,VARIAN_STOK!$D$2:$D$333,$A105)</f>
        <v>#NAME?</v>
      </c>
      <c r="J105" s="14" t="e">
        <f ca="1">_xludf.MAXIFS(VARIAN_STOK!$H$2:$H$333,VARIAN_STOK!$D$2:$D$333,$A105)</f>
        <v>#NAME?</v>
      </c>
      <c r="K105" s="17">
        <f>SUMIF(VARIAN_STOK!$D$2:$D$333,$A105,VARIAN_STOK!$I$2:$I$333)</f>
        <v>2</v>
      </c>
      <c r="L105" s="17">
        <f>COUNTIF(VARIAN_STOK!$D$2:$D$333,$A105)</f>
        <v>1</v>
      </c>
      <c r="M105" s="9"/>
      <c r="N105" s="9"/>
      <c r="O105" s="9"/>
      <c r="P105" s="9"/>
      <c r="Q105" s="9"/>
      <c r="R105" s="9"/>
      <c r="S105" s="9"/>
      <c r="T105" s="9"/>
      <c r="U105" s="9" t="s">
        <v>39</v>
      </c>
      <c r="V105" s="9" t="s">
        <v>39</v>
      </c>
      <c r="W105" s="9" t="s">
        <v>40</v>
      </c>
      <c r="X105" s="10"/>
      <c r="Y105" s="38" t="s">
        <v>39</v>
      </c>
      <c r="Z105" s="41">
        <v>0</v>
      </c>
      <c r="AA105" s="44"/>
      <c r="AB105" s="44"/>
      <c r="AC105" s="5"/>
    </row>
    <row r="106" spans="1:29">
      <c r="A106" s="20" t="s">
        <v>441</v>
      </c>
      <c r="B106" s="9" t="s">
        <v>442</v>
      </c>
      <c r="C106" s="23">
        <v>12</v>
      </c>
      <c r="D106" s="26" t="s">
        <v>436</v>
      </c>
      <c r="E106" s="9" t="s">
        <v>443</v>
      </c>
      <c r="F106" s="9" t="s">
        <v>57</v>
      </c>
      <c r="G106" s="9" t="s">
        <v>58</v>
      </c>
      <c r="H106" s="9" t="s">
        <v>35</v>
      </c>
      <c r="I106" s="14" t="e">
        <f ca="1">_xludf.MINIFS(VARIAN_STOK!$H$2:$H$333,VARIAN_STOK!$D$2:$D$333,$A106)</f>
        <v>#NAME?</v>
      </c>
      <c r="J106" s="14" t="e">
        <f ca="1">_xludf.MAXIFS(VARIAN_STOK!$H$2:$H$333,VARIAN_STOK!$D$2:$D$333,$A106)</f>
        <v>#NAME?</v>
      </c>
      <c r="K106" s="17">
        <f>SUMIF(VARIAN_STOK!$D$2:$D$333,$A106,VARIAN_STOK!$I$2:$I$333)</f>
        <v>1</v>
      </c>
      <c r="L106" s="17">
        <f>COUNTIF(VARIAN_STOK!$D$2:$D$333,$A106)</f>
        <v>1</v>
      </c>
      <c r="M106" s="9"/>
      <c r="N106" s="9"/>
      <c r="O106" s="9"/>
      <c r="P106" s="9"/>
      <c r="Q106" s="9"/>
      <c r="R106" s="9"/>
      <c r="S106" s="9"/>
      <c r="T106" s="9"/>
      <c r="U106" s="9" t="s">
        <v>39</v>
      </c>
      <c r="V106" s="9" t="s">
        <v>39</v>
      </c>
      <c r="W106" s="9" t="s">
        <v>40</v>
      </c>
      <c r="X106" s="10"/>
      <c r="Y106" s="38" t="s">
        <v>39</v>
      </c>
      <c r="Z106" s="41">
        <v>0</v>
      </c>
      <c r="AA106" s="44"/>
      <c r="AB106" s="44"/>
      <c r="AC106" s="5"/>
    </row>
    <row r="107" spans="1:29">
      <c r="A107" s="20" t="s">
        <v>444</v>
      </c>
      <c r="B107" s="9" t="s">
        <v>445</v>
      </c>
      <c r="C107" s="23">
        <v>12</v>
      </c>
      <c r="D107" s="26" t="s">
        <v>436</v>
      </c>
      <c r="E107" s="9" t="s">
        <v>446</v>
      </c>
      <c r="F107" s="9" t="s">
        <v>57</v>
      </c>
      <c r="G107" s="9" t="s">
        <v>58</v>
      </c>
      <c r="H107" s="9" t="s">
        <v>35</v>
      </c>
      <c r="I107" s="14" t="e">
        <f ca="1">_xludf.MINIFS(VARIAN_STOK!$H$2:$H$333,VARIAN_STOK!$D$2:$D$333,$A107)</f>
        <v>#NAME?</v>
      </c>
      <c r="J107" s="14" t="e">
        <f ca="1">_xludf.MAXIFS(VARIAN_STOK!$H$2:$H$333,VARIAN_STOK!$D$2:$D$333,$A107)</f>
        <v>#NAME?</v>
      </c>
      <c r="K107" s="17">
        <f>SUMIF(VARIAN_STOK!$D$2:$D$333,$A107,VARIAN_STOK!$I$2:$I$333)</f>
        <v>1</v>
      </c>
      <c r="L107" s="17">
        <f>COUNTIF(VARIAN_STOK!$D$2:$D$333,$A107)</f>
        <v>1</v>
      </c>
      <c r="M107" s="9"/>
      <c r="N107" s="9"/>
      <c r="O107" s="9"/>
      <c r="P107" s="9"/>
      <c r="Q107" s="9"/>
      <c r="R107" s="9"/>
      <c r="S107" s="9"/>
      <c r="T107" s="9"/>
      <c r="U107" s="9" t="s">
        <v>39</v>
      </c>
      <c r="V107" s="9" t="s">
        <v>39</v>
      </c>
      <c r="W107" s="9" t="s">
        <v>40</v>
      </c>
      <c r="X107" s="10"/>
      <c r="Y107" s="38" t="s">
        <v>39</v>
      </c>
      <c r="Z107" s="41">
        <v>0</v>
      </c>
      <c r="AA107" s="44"/>
      <c r="AB107" s="44"/>
      <c r="AC107" s="5"/>
    </row>
    <row r="108" spans="1:29">
      <c r="A108" s="20" t="s">
        <v>447</v>
      </c>
      <c r="B108" s="9" t="s">
        <v>448</v>
      </c>
      <c r="C108" s="23">
        <v>12</v>
      </c>
      <c r="D108" s="26" t="s">
        <v>436</v>
      </c>
      <c r="E108" s="9" t="s">
        <v>449</v>
      </c>
      <c r="F108" s="9" t="s">
        <v>57</v>
      </c>
      <c r="G108" s="9" t="s">
        <v>58</v>
      </c>
      <c r="H108" s="9" t="s">
        <v>35</v>
      </c>
      <c r="I108" s="14" t="e">
        <f ca="1">_xludf.MINIFS(VARIAN_STOK!$H$2:$H$333,VARIAN_STOK!$D$2:$D$333,$A108)</f>
        <v>#NAME?</v>
      </c>
      <c r="J108" s="14" t="e">
        <f ca="1">_xludf.MAXIFS(VARIAN_STOK!$H$2:$H$333,VARIAN_STOK!$D$2:$D$333,$A108)</f>
        <v>#NAME?</v>
      </c>
      <c r="K108" s="17">
        <f>SUMIF(VARIAN_STOK!$D$2:$D$333,$A108,VARIAN_STOK!$I$2:$I$333)</f>
        <v>1</v>
      </c>
      <c r="L108" s="17">
        <f>COUNTIF(VARIAN_STOK!$D$2:$D$333,$A108)</f>
        <v>1</v>
      </c>
      <c r="M108" s="9"/>
      <c r="N108" s="9"/>
      <c r="O108" s="9"/>
      <c r="P108" s="9"/>
      <c r="Q108" s="9"/>
      <c r="R108" s="9"/>
      <c r="S108" s="9"/>
      <c r="T108" s="9"/>
      <c r="U108" s="9" t="s">
        <v>39</v>
      </c>
      <c r="V108" s="9" t="s">
        <v>39</v>
      </c>
      <c r="W108" s="9" t="s">
        <v>40</v>
      </c>
      <c r="X108" s="10"/>
      <c r="Y108" s="38" t="s">
        <v>39</v>
      </c>
      <c r="Z108" s="41">
        <v>0</v>
      </c>
      <c r="AA108" s="44"/>
      <c r="AB108" s="44"/>
      <c r="AC108" s="5"/>
    </row>
    <row r="109" spans="1:29">
      <c r="A109" s="20" t="s">
        <v>450</v>
      </c>
      <c r="B109" s="9" t="s">
        <v>451</v>
      </c>
      <c r="C109" s="23">
        <v>12</v>
      </c>
      <c r="D109" s="26" t="s">
        <v>436</v>
      </c>
      <c r="E109" s="9" t="s">
        <v>452</v>
      </c>
      <c r="F109" s="9" t="s">
        <v>57</v>
      </c>
      <c r="G109" s="9" t="s">
        <v>58</v>
      </c>
      <c r="H109" s="9" t="s">
        <v>35</v>
      </c>
      <c r="I109" s="14" t="e">
        <f ca="1">_xludf.MINIFS(VARIAN_STOK!$H$2:$H$333,VARIAN_STOK!$D$2:$D$333,$A109)</f>
        <v>#NAME?</v>
      </c>
      <c r="J109" s="14" t="e">
        <f ca="1">_xludf.MAXIFS(VARIAN_STOK!$H$2:$H$333,VARIAN_STOK!$D$2:$D$333,$A109)</f>
        <v>#NAME?</v>
      </c>
      <c r="K109" s="17">
        <f>SUMIF(VARIAN_STOK!$D$2:$D$333,$A109,VARIAN_STOK!$I$2:$I$333)</f>
        <v>2</v>
      </c>
      <c r="L109" s="17">
        <f>COUNTIF(VARIAN_STOK!$D$2:$D$333,$A109)</f>
        <v>1</v>
      </c>
      <c r="M109" s="9"/>
      <c r="N109" s="9"/>
      <c r="O109" s="9"/>
      <c r="P109" s="9"/>
      <c r="Q109" s="9"/>
      <c r="R109" s="9"/>
      <c r="S109" s="9"/>
      <c r="T109" s="9"/>
      <c r="U109" s="9" t="s">
        <v>39</v>
      </c>
      <c r="V109" s="9" t="s">
        <v>39</v>
      </c>
      <c r="W109" s="9" t="s">
        <v>40</v>
      </c>
      <c r="X109" s="10"/>
      <c r="Y109" s="38" t="s">
        <v>39</v>
      </c>
      <c r="Z109" s="41">
        <v>0</v>
      </c>
      <c r="AA109" s="44"/>
      <c r="AB109" s="44"/>
      <c r="AC109" s="5"/>
    </row>
    <row r="110" spans="1:29">
      <c r="A110" s="20" t="s">
        <v>453</v>
      </c>
      <c r="B110" s="9" t="s">
        <v>454</v>
      </c>
      <c r="C110" s="23">
        <v>12</v>
      </c>
      <c r="D110" s="26" t="s">
        <v>436</v>
      </c>
      <c r="E110" s="9" t="s">
        <v>455</v>
      </c>
      <c r="F110" s="9" t="s">
        <v>57</v>
      </c>
      <c r="G110" s="9" t="s">
        <v>58</v>
      </c>
      <c r="H110" s="9" t="s">
        <v>35</v>
      </c>
      <c r="I110" s="14" t="e">
        <f ca="1">_xludf.MINIFS(VARIAN_STOK!$H$2:$H$333,VARIAN_STOK!$D$2:$D$333,$A110)</f>
        <v>#NAME?</v>
      </c>
      <c r="J110" s="14" t="e">
        <f ca="1">_xludf.MAXIFS(VARIAN_STOK!$H$2:$H$333,VARIAN_STOK!$D$2:$D$333,$A110)</f>
        <v>#NAME?</v>
      </c>
      <c r="K110" s="17">
        <f>SUMIF(VARIAN_STOK!$D$2:$D$333,$A110,VARIAN_STOK!$I$2:$I$333)</f>
        <v>1</v>
      </c>
      <c r="L110" s="17">
        <f>COUNTIF(VARIAN_STOK!$D$2:$D$333,$A110)</f>
        <v>1</v>
      </c>
      <c r="M110" s="9" t="s">
        <v>142</v>
      </c>
      <c r="N110" s="9"/>
      <c r="O110" s="9"/>
      <c r="P110" s="9"/>
      <c r="Q110" s="9"/>
      <c r="R110" s="9"/>
      <c r="S110" s="9"/>
      <c r="T110" s="9"/>
      <c r="U110" s="9" t="s">
        <v>39</v>
      </c>
      <c r="V110" s="9" t="s">
        <v>39</v>
      </c>
      <c r="W110" s="9" t="s">
        <v>40</v>
      </c>
      <c r="X110" s="10"/>
      <c r="Y110" s="38" t="s">
        <v>39</v>
      </c>
      <c r="Z110" s="41">
        <v>0</v>
      </c>
      <c r="AA110" s="44"/>
      <c r="AB110" s="44"/>
      <c r="AC110" s="5"/>
    </row>
    <row r="111" spans="1:29">
      <c r="A111" s="20" t="s">
        <v>456</v>
      </c>
      <c r="B111" s="9" t="s">
        <v>457</v>
      </c>
      <c r="C111" s="23">
        <v>12</v>
      </c>
      <c r="D111" s="26" t="s">
        <v>436</v>
      </c>
      <c r="E111" s="9" t="s">
        <v>458</v>
      </c>
      <c r="F111" s="9" t="s">
        <v>57</v>
      </c>
      <c r="G111" s="9" t="s">
        <v>58</v>
      </c>
      <c r="H111" s="9" t="s">
        <v>35</v>
      </c>
      <c r="I111" s="14" t="e">
        <f ca="1">_xludf.MINIFS(VARIAN_STOK!$H$2:$H$333,VARIAN_STOK!$D$2:$D$333,$A111)</f>
        <v>#NAME?</v>
      </c>
      <c r="J111" s="14" t="e">
        <f ca="1">_xludf.MAXIFS(VARIAN_STOK!$H$2:$H$333,VARIAN_STOK!$D$2:$D$333,$A111)</f>
        <v>#NAME?</v>
      </c>
      <c r="K111" s="17">
        <f>SUMIF(VARIAN_STOK!$D$2:$D$333,$A111,VARIAN_STOK!$I$2:$I$333)</f>
        <v>2</v>
      </c>
      <c r="L111" s="17">
        <f>COUNTIF(VARIAN_STOK!$D$2:$D$333,$A111)</f>
        <v>1</v>
      </c>
      <c r="M111" s="9"/>
      <c r="N111" s="9"/>
      <c r="O111" s="9"/>
      <c r="P111" s="9"/>
      <c r="Q111" s="9"/>
      <c r="R111" s="9"/>
      <c r="S111" s="9"/>
      <c r="T111" s="9"/>
      <c r="U111" s="9" t="s">
        <v>39</v>
      </c>
      <c r="V111" s="9" t="s">
        <v>39</v>
      </c>
      <c r="W111" s="9" t="s">
        <v>40</v>
      </c>
      <c r="X111" s="10"/>
      <c r="Y111" s="38" t="s">
        <v>39</v>
      </c>
      <c r="Z111" s="41">
        <v>0</v>
      </c>
      <c r="AA111" s="44"/>
      <c r="AB111" s="44"/>
      <c r="AC111" s="5"/>
    </row>
    <row r="112" spans="1:29">
      <c r="A112" s="20" t="s">
        <v>459</v>
      </c>
      <c r="B112" s="9" t="s">
        <v>460</v>
      </c>
      <c r="C112" s="23">
        <v>12</v>
      </c>
      <c r="D112" s="26" t="s">
        <v>436</v>
      </c>
      <c r="E112" s="9" t="s">
        <v>461</v>
      </c>
      <c r="F112" s="9" t="s">
        <v>57</v>
      </c>
      <c r="G112" s="9" t="s">
        <v>58</v>
      </c>
      <c r="H112" s="9" t="s">
        <v>35</v>
      </c>
      <c r="I112" s="14" t="e">
        <f ca="1">_xludf.MINIFS(VARIAN_STOK!$H$2:$H$333,VARIAN_STOK!$D$2:$D$333,$A112)</f>
        <v>#NAME?</v>
      </c>
      <c r="J112" s="14" t="e">
        <f ca="1">_xludf.MAXIFS(VARIAN_STOK!$H$2:$H$333,VARIAN_STOK!$D$2:$D$333,$A112)</f>
        <v>#NAME?</v>
      </c>
      <c r="K112" s="17">
        <f>SUMIF(VARIAN_STOK!$D$2:$D$333,$A112,VARIAN_STOK!$I$2:$I$333)</f>
        <v>1</v>
      </c>
      <c r="L112" s="17">
        <f>COUNTIF(VARIAN_STOK!$D$2:$D$333,$A112)</f>
        <v>1</v>
      </c>
      <c r="M112" s="9"/>
      <c r="N112" s="9"/>
      <c r="O112" s="9"/>
      <c r="P112" s="9"/>
      <c r="Q112" s="9"/>
      <c r="R112" s="9"/>
      <c r="S112" s="9"/>
      <c r="T112" s="9"/>
      <c r="U112" s="9" t="s">
        <v>39</v>
      </c>
      <c r="V112" s="9" t="s">
        <v>39</v>
      </c>
      <c r="W112" s="9" t="s">
        <v>40</v>
      </c>
      <c r="X112" s="10"/>
      <c r="Y112" s="38" t="s">
        <v>39</v>
      </c>
      <c r="Z112" s="41">
        <v>0</v>
      </c>
      <c r="AA112" s="44"/>
      <c r="AB112" s="44"/>
      <c r="AC112" s="5"/>
    </row>
    <row r="113" spans="1:29">
      <c r="A113" s="20" t="s">
        <v>462</v>
      </c>
      <c r="B113" s="9" t="s">
        <v>463</v>
      </c>
      <c r="C113" s="23">
        <v>12</v>
      </c>
      <c r="D113" s="26" t="s">
        <v>436</v>
      </c>
      <c r="E113" s="9" t="s">
        <v>464</v>
      </c>
      <c r="F113" s="9" t="s">
        <v>57</v>
      </c>
      <c r="G113" s="9" t="s">
        <v>58</v>
      </c>
      <c r="H113" s="9" t="s">
        <v>35</v>
      </c>
      <c r="I113" s="14" t="e">
        <f ca="1">_xludf.MINIFS(VARIAN_STOK!$H$2:$H$333,VARIAN_STOK!$D$2:$D$333,$A113)</f>
        <v>#NAME?</v>
      </c>
      <c r="J113" s="14" t="e">
        <f ca="1">_xludf.MAXIFS(VARIAN_STOK!$H$2:$H$333,VARIAN_STOK!$D$2:$D$333,$A113)</f>
        <v>#NAME?</v>
      </c>
      <c r="K113" s="17">
        <f>SUMIF(VARIAN_STOK!$D$2:$D$333,$A113,VARIAN_STOK!$I$2:$I$333)</f>
        <v>3</v>
      </c>
      <c r="L113" s="17">
        <f>COUNTIF(VARIAN_STOK!$D$2:$D$333,$A113)</f>
        <v>2</v>
      </c>
      <c r="M113" s="9" t="s">
        <v>465</v>
      </c>
      <c r="N113" s="9"/>
      <c r="O113" s="9"/>
      <c r="P113" s="9"/>
      <c r="Q113" s="9"/>
      <c r="R113" s="9"/>
      <c r="S113" s="9"/>
      <c r="T113" s="9"/>
      <c r="U113" s="9" t="s">
        <v>39</v>
      </c>
      <c r="V113" s="9" t="s">
        <v>39</v>
      </c>
      <c r="W113" s="9" t="s">
        <v>40</v>
      </c>
      <c r="X113" s="10"/>
      <c r="Y113" s="38" t="s">
        <v>39</v>
      </c>
      <c r="Z113" s="41">
        <v>0</v>
      </c>
      <c r="AA113" s="44"/>
      <c r="AB113" s="44"/>
      <c r="AC113" s="5"/>
    </row>
    <row r="114" spans="1:29">
      <c r="A114" s="20" t="s">
        <v>466</v>
      </c>
      <c r="B114" s="9" t="s">
        <v>467</v>
      </c>
      <c r="C114" s="23">
        <v>12</v>
      </c>
      <c r="D114" s="26" t="s">
        <v>436</v>
      </c>
      <c r="E114" s="9" t="s">
        <v>468</v>
      </c>
      <c r="F114" s="9" t="s">
        <v>57</v>
      </c>
      <c r="G114" s="9" t="s">
        <v>58</v>
      </c>
      <c r="H114" s="9" t="s">
        <v>35</v>
      </c>
      <c r="I114" s="14" t="e">
        <f ca="1">_xludf.MINIFS(VARIAN_STOK!$H$2:$H$333,VARIAN_STOK!$D$2:$D$333,$A114)</f>
        <v>#NAME?</v>
      </c>
      <c r="J114" s="14" t="e">
        <f ca="1">_xludf.MAXIFS(VARIAN_STOK!$H$2:$H$333,VARIAN_STOK!$D$2:$D$333,$A114)</f>
        <v>#NAME?</v>
      </c>
      <c r="K114" s="17">
        <f>SUMIF(VARIAN_STOK!$D$2:$D$333,$A114,VARIAN_STOK!$I$2:$I$333)</f>
        <v>1</v>
      </c>
      <c r="L114" s="17">
        <f>COUNTIF(VARIAN_STOK!$D$2:$D$333,$A114)</f>
        <v>1</v>
      </c>
      <c r="M114" s="9"/>
      <c r="N114" s="9"/>
      <c r="O114" s="9"/>
      <c r="P114" s="9"/>
      <c r="Q114" s="9"/>
      <c r="R114" s="9"/>
      <c r="S114" s="9"/>
      <c r="T114" s="9"/>
      <c r="U114" s="9" t="s">
        <v>39</v>
      </c>
      <c r="V114" s="9" t="s">
        <v>39</v>
      </c>
      <c r="W114" s="9" t="s">
        <v>40</v>
      </c>
      <c r="X114" s="10"/>
      <c r="Y114" s="38" t="s">
        <v>39</v>
      </c>
      <c r="Z114" s="41">
        <v>0</v>
      </c>
      <c r="AA114" s="44"/>
      <c r="AB114" s="44"/>
      <c r="AC114" s="5"/>
    </row>
    <row r="115" spans="1:29">
      <c r="A115" s="20" t="s">
        <v>469</v>
      </c>
      <c r="B115" s="9" t="s">
        <v>470</v>
      </c>
      <c r="C115" s="23">
        <v>12</v>
      </c>
      <c r="D115" s="26" t="s">
        <v>436</v>
      </c>
      <c r="E115" s="9" t="s">
        <v>471</v>
      </c>
      <c r="F115" s="9" t="s">
        <v>57</v>
      </c>
      <c r="G115" s="9" t="s">
        <v>58</v>
      </c>
      <c r="H115" s="9" t="s">
        <v>35</v>
      </c>
      <c r="I115" s="14" t="e">
        <f ca="1">_xludf.MINIFS(VARIAN_STOK!$H$2:$H$333,VARIAN_STOK!$D$2:$D$333,$A115)</f>
        <v>#NAME?</v>
      </c>
      <c r="J115" s="14" t="e">
        <f ca="1">_xludf.MAXIFS(VARIAN_STOK!$H$2:$H$333,VARIAN_STOK!$D$2:$D$333,$A115)</f>
        <v>#NAME?</v>
      </c>
      <c r="K115" s="17">
        <f>SUMIF(VARIAN_STOK!$D$2:$D$333,$A115,VARIAN_STOK!$I$2:$I$333)</f>
        <v>2</v>
      </c>
      <c r="L115" s="17">
        <f>COUNTIF(VARIAN_STOK!$D$2:$D$333,$A115)</f>
        <v>1</v>
      </c>
      <c r="M115" s="9"/>
      <c r="N115" s="9"/>
      <c r="O115" s="9"/>
      <c r="P115" s="9"/>
      <c r="Q115" s="9"/>
      <c r="R115" s="9"/>
      <c r="S115" s="9"/>
      <c r="T115" s="9"/>
      <c r="U115" s="9" t="s">
        <v>39</v>
      </c>
      <c r="V115" s="9" t="s">
        <v>39</v>
      </c>
      <c r="W115" s="9" t="s">
        <v>40</v>
      </c>
      <c r="X115" s="10"/>
      <c r="Y115" s="38" t="s">
        <v>39</v>
      </c>
      <c r="Z115" s="41">
        <v>0</v>
      </c>
      <c r="AA115" s="44"/>
      <c r="AB115" s="44"/>
      <c r="AC115" s="5"/>
    </row>
    <row r="116" spans="1:29">
      <c r="A116" s="20" t="s">
        <v>472</v>
      </c>
      <c r="B116" s="9" t="s">
        <v>473</v>
      </c>
      <c r="C116" s="23">
        <v>12</v>
      </c>
      <c r="D116" s="26" t="s">
        <v>436</v>
      </c>
      <c r="E116" s="9" t="s">
        <v>474</v>
      </c>
      <c r="F116" s="9" t="s">
        <v>57</v>
      </c>
      <c r="G116" s="9" t="s">
        <v>58</v>
      </c>
      <c r="H116" s="9" t="s">
        <v>35</v>
      </c>
      <c r="I116" s="14" t="e">
        <f ca="1">_xludf.MINIFS(VARIAN_STOK!$H$2:$H$333,VARIAN_STOK!$D$2:$D$333,$A116)</f>
        <v>#NAME?</v>
      </c>
      <c r="J116" s="14" t="e">
        <f ca="1">_xludf.MAXIFS(VARIAN_STOK!$H$2:$H$333,VARIAN_STOK!$D$2:$D$333,$A116)</f>
        <v>#NAME?</v>
      </c>
      <c r="K116" s="17">
        <f>SUMIF(VARIAN_STOK!$D$2:$D$333,$A116,VARIAN_STOK!$I$2:$I$333)</f>
        <v>1</v>
      </c>
      <c r="L116" s="17">
        <f>COUNTIF(VARIAN_STOK!$D$2:$D$333,$A116)</f>
        <v>1</v>
      </c>
      <c r="M116" s="9"/>
      <c r="N116" s="9"/>
      <c r="O116" s="9"/>
      <c r="P116" s="9"/>
      <c r="Q116" s="9"/>
      <c r="R116" s="9"/>
      <c r="S116" s="9"/>
      <c r="T116" s="9"/>
      <c r="U116" s="9" t="s">
        <v>39</v>
      </c>
      <c r="V116" s="9" t="s">
        <v>39</v>
      </c>
      <c r="W116" s="9" t="s">
        <v>40</v>
      </c>
      <c r="X116" s="10"/>
      <c r="Y116" s="38" t="s">
        <v>39</v>
      </c>
      <c r="Z116" s="41">
        <v>0</v>
      </c>
      <c r="AA116" s="44"/>
      <c r="AB116" s="44"/>
      <c r="AC116" s="5"/>
    </row>
    <row r="117" spans="1:29">
      <c r="A117" s="20" t="s">
        <v>475</v>
      </c>
      <c r="B117" s="9" t="s">
        <v>476</v>
      </c>
      <c r="C117" s="23">
        <v>12</v>
      </c>
      <c r="D117" s="26" t="s">
        <v>436</v>
      </c>
      <c r="E117" s="9" t="s">
        <v>477</v>
      </c>
      <c r="F117" s="9" t="s">
        <v>57</v>
      </c>
      <c r="G117" s="9" t="s">
        <v>58</v>
      </c>
      <c r="H117" s="9" t="s">
        <v>35</v>
      </c>
      <c r="I117" s="14" t="e">
        <f ca="1">_xludf.MINIFS(VARIAN_STOK!$H$2:$H$333,VARIAN_STOK!$D$2:$D$333,$A117)</f>
        <v>#NAME?</v>
      </c>
      <c r="J117" s="14" t="e">
        <f ca="1">_xludf.MAXIFS(VARIAN_STOK!$H$2:$H$333,VARIAN_STOK!$D$2:$D$333,$A117)</f>
        <v>#NAME?</v>
      </c>
      <c r="K117" s="17">
        <f>SUMIF(VARIAN_STOK!$D$2:$D$333,$A117,VARIAN_STOK!$I$2:$I$333)</f>
        <v>2</v>
      </c>
      <c r="L117" s="17">
        <f>COUNTIF(VARIAN_STOK!$D$2:$D$333,$A117)</f>
        <v>1</v>
      </c>
      <c r="M117" s="9" t="s">
        <v>478</v>
      </c>
      <c r="N117" s="9"/>
      <c r="O117" s="9"/>
      <c r="P117" s="9"/>
      <c r="Q117" s="9"/>
      <c r="R117" s="9"/>
      <c r="S117" s="9"/>
      <c r="T117" s="9"/>
      <c r="U117" s="9" t="s">
        <v>39</v>
      </c>
      <c r="V117" s="9" t="s">
        <v>39</v>
      </c>
      <c r="W117" s="9" t="s">
        <v>40</v>
      </c>
      <c r="X117" s="10"/>
      <c r="Y117" s="38" t="s">
        <v>39</v>
      </c>
      <c r="Z117" s="41">
        <v>0</v>
      </c>
      <c r="AA117" s="44"/>
      <c r="AB117" s="44"/>
      <c r="AC117" s="5"/>
    </row>
    <row r="118" spans="1:29">
      <c r="A118" s="20" t="s">
        <v>479</v>
      </c>
      <c r="B118" s="9" t="s">
        <v>480</v>
      </c>
      <c r="C118" s="23">
        <v>12</v>
      </c>
      <c r="D118" s="26" t="s">
        <v>436</v>
      </c>
      <c r="E118" s="9" t="s">
        <v>481</v>
      </c>
      <c r="F118" s="9" t="s">
        <v>57</v>
      </c>
      <c r="G118" s="9" t="s">
        <v>58</v>
      </c>
      <c r="H118" s="9" t="s">
        <v>35</v>
      </c>
      <c r="I118" s="14" t="e">
        <f ca="1">_xludf.MINIFS(VARIAN_STOK!$H$2:$H$333,VARIAN_STOK!$D$2:$D$333,$A118)</f>
        <v>#NAME?</v>
      </c>
      <c r="J118" s="14" t="e">
        <f ca="1">_xludf.MAXIFS(VARIAN_STOK!$H$2:$H$333,VARIAN_STOK!$D$2:$D$333,$A118)</f>
        <v>#NAME?</v>
      </c>
      <c r="K118" s="17">
        <f>SUMIF(VARIAN_STOK!$D$2:$D$333,$A118,VARIAN_STOK!$I$2:$I$333)</f>
        <v>2</v>
      </c>
      <c r="L118" s="17">
        <f>COUNTIF(VARIAN_STOK!$D$2:$D$333,$A118)</f>
        <v>1</v>
      </c>
      <c r="M118" s="9"/>
      <c r="N118" s="9"/>
      <c r="O118" s="9"/>
      <c r="P118" s="9"/>
      <c r="Q118" s="9"/>
      <c r="R118" s="9"/>
      <c r="S118" s="9"/>
      <c r="T118" s="9"/>
      <c r="U118" s="9" t="s">
        <v>39</v>
      </c>
      <c r="V118" s="9" t="s">
        <v>39</v>
      </c>
      <c r="W118" s="9" t="s">
        <v>40</v>
      </c>
      <c r="X118" s="10"/>
      <c r="Y118" s="38" t="s">
        <v>39</v>
      </c>
      <c r="Z118" s="41">
        <v>0</v>
      </c>
      <c r="AA118" s="44"/>
      <c r="AB118" s="44"/>
      <c r="AC118" s="5"/>
    </row>
    <row r="119" spans="1:29">
      <c r="A119" s="20" t="s">
        <v>482</v>
      </c>
      <c r="B119" s="9" t="s">
        <v>483</v>
      </c>
      <c r="C119" s="23">
        <v>12</v>
      </c>
      <c r="D119" s="26" t="s">
        <v>436</v>
      </c>
      <c r="E119" s="9" t="s">
        <v>484</v>
      </c>
      <c r="F119" s="9" t="s">
        <v>57</v>
      </c>
      <c r="G119" s="9" t="s">
        <v>58</v>
      </c>
      <c r="H119" s="9" t="s">
        <v>35</v>
      </c>
      <c r="I119" s="14" t="e">
        <f ca="1">_xludf.MINIFS(VARIAN_STOK!$H$2:$H$333,VARIAN_STOK!$D$2:$D$333,$A119)</f>
        <v>#NAME?</v>
      </c>
      <c r="J119" s="14" t="e">
        <f ca="1">_xludf.MAXIFS(VARIAN_STOK!$H$2:$H$333,VARIAN_STOK!$D$2:$D$333,$A119)</f>
        <v>#NAME?</v>
      </c>
      <c r="K119" s="17">
        <f>SUMIF(VARIAN_STOK!$D$2:$D$333,$A119,VARIAN_STOK!$I$2:$I$333)</f>
        <v>2</v>
      </c>
      <c r="L119" s="17">
        <f>COUNTIF(VARIAN_STOK!$D$2:$D$333,$A119)</f>
        <v>1</v>
      </c>
      <c r="M119" s="9"/>
      <c r="N119" s="9"/>
      <c r="O119" s="9"/>
      <c r="P119" s="9"/>
      <c r="Q119" s="9"/>
      <c r="R119" s="9"/>
      <c r="S119" s="9"/>
      <c r="T119" s="9"/>
      <c r="U119" s="9" t="s">
        <v>39</v>
      </c>
      <c r="V119" s="9" t="s">
        <v>39</v>
      </c>
      <c r="W119" s="9" t="s">
        <v>40</v>
      </c>
      <c r="X119" s="10"/>
      <c r="Y119" s="38" t="s">
        <v>39</v>
      </c>
      <c r="Z119" s="41">
        <v>0</v>
      </c>
      <c r="AA119" s="44"/>
      <c r="AB119" s="44"/>
      <c r="AC119" s="5"/>
    </row>
    <row r="120" spans="1:29">
      <c r="A120" s="20" t="s">
        <v>485</v>
      </c>
      <c r="B120" s="9" t="s">
        <v>486</v>
      </c>
      <c r="C120" s="23">
        <v>12</v>
      </c>
      <c r="D120" s="26" t="s">
        <v>436</v>
      </c>
      <c r="E120" s="9" t="s">
        <v>487</v>
      </c>
      <c r="F120" s="9" t="s">
        <v>57</v>
      </c>
      <c r="G120" s="9" t="s">
        <v>58</v>
      </c>
      <c r="H120" s="9" t="s">
        <v>35</v>
      </c>
      <c r="I120" s="14" t="e">
        <f ca="1">_xludf.MINIFS(VARIAN_STOK!$H$2:$H$333,VARIAN_STOK!$D$2:$D$333,$A120)</f>
        <v>#NAME?</v>
      </c>
      <c r="J120" s="14" t="e">
        <f ca="1">_xludf.MAXIFS(VARIAN_STOK!$H$2:$H$333,VARIAN_STOK!$D$2:$D$333,$A120)</f>
        <v>#NAME?</v>
      </c>
      <c r="K120" s="17">
        <f>SUMIF(VARIAN_STOK!$D$2:$D$333,$A120,VARIAN_STOK!$I$2:$I$333)</f>
        <v>2</v>
      </c>
      <c r="L120" s="17">
        <f>COUNTIF(VARIAN_STOK!$D$2:$D$333,$A120)</f>
        <v>1</v>
      </c>
      <c r="M120" s="9"/>
      <c r="N120" s="9"/>
      <c r="O120" s="9"/>
      <c r="P120" s="9"/>
      <c r="Q120" s="9"/>
      <c r="R120" s="9"/>
      <c r="S120" s="9"/>
      <c r="T120" s="9"/>
      <c r="U120" s="9" t="s">
        <v>39</v>
      </c>
      <c r="V120" s="9" t="s">
        <v>39</v>
      </c>
      <c r="W120" s="9" t="s">
        <v>40</v>
      </c>
      <c r="X120" s="10"/>
      <c r="Y120" s="38" t="s">
        <v>39</v>
      </c>
      <c r="Z120" s="41">
        <v>0</v>
      </c>
      <c r="AA120" s="44"/>
      <c r="AB120" s="44"/>
      <c r="AC120" s="5"/>
    </row>
    <row r="121" spans="1:29">
      <c r="A121" s="20" t="s">
        <v>488</v>
      </c>
      <c r="B121" s="9" t="s">
        <v>489</v>
      </c>
      <c r="C121" s="23">
        <v>12</v>
      </c>
      <c r="D121" s="26" t="s">
        <v>436</v>
      </c>
      <c r="E121" s="9" t="s">
        <v>490</v>
      </c>
      <c r="F121" s="9" t="s">
        <v>57</v>
      </c>
      <c r="G121" s="9" t="s">
        <v>58</v>
      </c>
      <c r="H121" s="9" t="s">
        <v>35</v>
      </c>
      <c r="I121" s="14" t="e">
        <f ca="1">_xludf.MINIFS(VARIAN_STOK!$H$2:$H$333,VARIAN_STOK!$D$2:$D$333,$A121)</f>
        <v>#NAME?</v>
      </c>
      <c r="J121" s="14" t="e">
        <f ca="1">_xludf.MAXIFS(VARIAN_STOK!$H$2:$H$333,VARIAN_STOK!$D$2:$D$333,$A121)</f>
        <v>#NAME?</v>
      </c>
      <c r="K121" s="17">
        <f>SUMIF(VARIAN_STOK!$D$2:$D$333,$A121,VARIAN_STOK!$I$2:$I$333)</f>
        <v>3</v>
      </c>
      <c r="L121" s="17">
        <f>COUNTIF(VARIAN_STOK!$D$2:$D$333,$A121)</f>
        <v>2</v>
      </c>
      <c r="M121" s="9" t="s">
        <v>491</v>
      </c>
      <c r="N121" s="9"/>
      <c r="O121" s="9"/>
      <c r="P121" s="9"/>
      <c r="Q121" s="9"/>
      <c r="R121" s="9"/>
      <c r="S121" s="9"/>
      <c r="T121" s="9"/>
      <c r="U121" s="9" t="s">
        <v>39</v>
      </c>
      <c r="V121" s="9" t="s">
        <v>39</v>
      </c>
      <c r="W121" s="9" t="s">
        <v>40</v>
      </c>
      <c r="X121" s="10"/>
      <c r="Y121" s="38" t="s">
        <v>39</v>
      </c>
      <c r="Z121" s="41">
        <v>0</v>
      </c>
      <c r="AA121" s="44"/>
      <c r="AB121" s="44"/>
      <c r="AC121" s="5"/>
    </row>
    <row r="122" spans="1:29">
      <c r="A122" s="20" t="s">
        <v>492</v>
      </c>
      <c r="B122" s="9" t="s">
        <v>493</v>
      </c>
      <c r="C122" s="23">
        <v>12</v>
      </c>
      <c r="D122" s="26" t="s">
        <v>436</v>
      </c>
      <c r="E122" s="9" t="s">
        <v>494</v>
      </c>
      <c r="F122" s="9" t="s">
        <v>57</v>
      </c>
      <c r="G122" s="9" t="s">
        <v>58</v>
      </c>
      <c r="H122" s="9" t="s">
        <v>35</v>
      </c>
      <c r="I122" s="14" t="e">
        <f ca="1">_xludf.MINIFS(VARIAN_STOK!$H$2:$H$333,VARIAN_STOK!$D$2:$D$333,$A122)</f>
        <v>#NAME?</v>
      </c>
      <c r="J122" s="14" t="e">
        <f ca="1">_xludf.MAXIFS(VARIAN_STOK!$H$2:$H$333,VARIAN_STOK!$D$2:$D$333,$A122)</f>
        <v>#NAME?</v>
      </c>
      <c r="K122" s="17">
        <f>SUMIF(VARIAN_STOK!$D$2:$D$333,$A122,VARIAN_STOK!$I$2:$I$333)</f>
        <v>4</v>
      </c>
      <c r="L122" s="17">
        <f>COUNTIF(VARIAN_STOK!$D$2:$D$333,$A122)</f>
        <v>3</v>
      </c>
      <c r="M122" s="9" t="s">
        <v>495</v>
      </c>
      <c r="N122" s="9"/>
      <c r="O122" s="9"/>
      <c r="P122" s="9"/>
      <c r="Q122" s="9"/>
      <c r="R122" s="9"/>
      <c r="S122" s="9"/>
      <c r="T122" s="9"/>
      <c r="U122" s="9" t="s">
        <v>39</v>
      </c>
      <c r="V122" s="9" t="s">
        <v>39</v>
      </c>
      <c r="W122" s="9" t="s">
        <v>40</v>
      </c>
      <c r="X122" s="10"/>
      <c r="Y122" s="38" t="s">
        <v>39</v>
      </c>
      <c r="Z122" s="41">
        <v>0</v>
      </c>
      <c r="AA122" s="44"/>
      <c r="AB122" s="44"/>
      <c r="AC122" s="5"/>
    </row>
    <row r="123" spans="1:29">
      <c r="A123" s="20" t="s">
        <v>496</v>
      </c>
      <c r="B123" s="9" t="s">
        <v>497</v>
      </c>
      <c r="C123" s="23">
        <v>12</v>
      </c>
      <c r="D123" s="26" t="s">
        <v>436</v>
      </c>
      <c r="E123" s="9" t="s">
        <v>498</v>
      </c>
      <c r="F123" s="9" t="s">
        <v>371</v>
      </c>
      <c r="G123" s="9" t="s">
        <v>58</v>
      </c>
      <c r="H123" s="9" t="s">
        <v>35</v>
      </c>
      <c r="I123" s="14" t="e">
        <f ca="1">_xludf.MINIFS(VARIAN_STOK!$H$2:$H$333,VARIAN_STOK!$D$2:$D$333,$A123)</f>
        <v>#NAME?</v>
      </c>
      <c r="J123" s="14" t="e">
        <f ca="1">_xludf.MAXIFS(VARIAN_STOK!$H$2:$H$333,VARIAN_STOK!$D$2:$D$333,$A123)</f>
        <v>#NAME?</v>
      </c>
      <c r="K123" s="17">
        <f>SUMIF(VARIAN_STOK!$D$2:$D$333,$A123,VARIAN_STOK!$I$2:$I$333)</f>
        <v>1</v>
      </c>
      <c r="L123" s="17">
        <f>COUNTIF(VARIAN_STOK!$D$2:$D$333,$A123)</f>
        <v>1</v>
      </c>
      <c r="M123" s="9" t="s">
        <v>499</v>
      </c>
      <c r="N123" s="9"/>
      <c r="O123" s="9"/>
      <c r="P123" s="9"/>
      <c r="Q123" s="9"/>
      <c r="R123" s="9"/>
      <c r="S123" s="9"/>
      <c r="T123" s="9"/>
      <c r="U123" s="9" t="s">
        <v>39</v>
      </c>
      <c r="V123" s="9" t="s">
        <v>39</v>
      </c>
      <c r="W123" s="9" t="s">
        <v>40</v>
      </c>
      <c r="X123" s="10"/>
      <c r="Y123" s="38" t="s">
        <v>39</v>
      </c>
      <c r="Z123" s="41">
        <v>0</v>
      </c>
      <c r="AA123" s="44"/>
      <c r="AB123" s="44"/>
      <c r="AC123" s="5"/>
    </row>
    <row r="124" spans="1:29">
      <c r="A124" s="20" t="s">
        <v>500</v>
      </c>
      <c r="B124" s="9" t="s">
        <v>501</v>
      </c>
      <c r="C124" s="23">
        <v>12</v>
      </c>
      <c r="D124" s="26" t="s">
        <v>436</v>
      </c>
      <c r="E124" s="9" t="s">
        <v>502</v>
      </c>
      <c r="F124" s="9" t="s">
        <v>239</v>
      </c>
      <c r="G124" s="9" t="s">
        <v>58</v>
      </c>
      <c r="H124" s="9" t="s">
        <v>35</v>
      </c>
      <c r="I124" s="14" t="e">
        <f ca="1">_xludf.MINIFS(VARIAN_STOK!$H$2:$H$333,VARIAN_STOK!$D$2:$D$333,$A124)</f>
        <v>#NAME?</v>
      </c>
      <c r="J124" s="14" t="e">
        <f ca="1">_xludf.MAXIFS(VARIAN_STOK!$H$2:$H$333,VARIAN_STOK!$D$2:$D$333,$A124)</f>
        <v>#NAME?</v>
      </c>
      <c r="K124" s="17">
        <f>SUMIF(VARIAN_STOK!$D$2:$D$333,$A124,VARIAN_STOK!$I$2:$I$333)</f>
        <v>2</v>
      </c>
      <c r="L124" s="17">
        <f>COUNTIF(VARIAN_STOK!$D$2:$D$333,$A124)</f>
        <v>2</v>
      </c>
      <c r="M124" s="9" t="s">
        <v>503</v>
      </c>
      <c r="N124" s="9"/>
      <c r="O124" s="9"/>
      <c r="P124" s="9"/>
      <c r="Q124" s="9"/>
      <c r="R124" s="9"/>
      <c r="S124" s="9"/>
      <c r="T124" s="9"/>
      <c r="U124" s="9" t="s">
        <v>39</v>
      </c>
      <c r="V124" s="9" t="s">
        <v>39</v>
      </c>
      <c r="W124" s="9" t="s">
        <v>40</v>
      </c>
      <c r="X124" s="10"/>
      <c r="Y124" s="38" t="s">
        <v>39</v>
      </c>
      <c r="Z124" s="41">
        <v>0</v>
      </c>
      <c r="AA124" s="44"/>
      <c r="AB124" s="44"/>
      <c r="AC124" s="5"/>
    </row>
    <row r="125" spans="1:29">
      <c r="A125" s="20" t="s">
        <v>504</v>
      </c>
      <c r="B125" s="9" t="s">
        <v>505</v>
      </c>
      <c r="C125" s="23">
        <v>12</v>
      </c>
      <c r="D125" s="26" t="s">
        <v>436</v>
      </c>
      <c r="E125" s="9" t="s">
        <v>506</v>
      </c>
      <c r="F125" s="9" t="s">
        <v>239</v>
      </c>
      <c r="G125" s="9" t="s">
        <v>58</v>
      </c>
      <c r="H125" s="9" t="s">
        <v>35</v>
      </c>
      <c r="I125" s="14" t="e">
        <f ca="1">_xludf.MINIFS(VARIAN_STOK!$H$2:$H$333,VARIAN_STOK!$D$2:$D$333,$A125)</f>
        <v>#NAME?</v>
      </c>
      <c r="J125" s="14" t="e">
        <f ca="1">_xludf.MAXIFS(VARIAN_STOK!$H$2:$H$333,VARIAN_STOK!$D$2:$D$333,$A125)</f>
        <v>#NAME?</v>
      </c>
      <c r="K125" s="17">
        <f>SUMIF(VARIAN_STOK!$D$2:$D$333,$A125,VARIAN_STOK!$I$2:$I$333)</f>
        <v>3</v>
      </c>
      <c r="L125" s="17">
        <f>COUNTIF(VARIAN_STOK!$D$2:$D$333,$A125)</f>
        <v>3</v>
      </c>
      <c r="M125" s="9" t="s">
        <v>507</v>
      </c>
      <c r="N125" s="9"/>
      <c r="O125" s="9"/>
      <c r="P125" s="9"/>
      <c r="Q125" s="9"/>
      <c r="R125" s="9"/>
      <c r="S125" s="9"/>
      <c r="T125" s="9"/>
      <c r="U125" s="9" t="s">
        <v>39</v>
      </c>
      <c r="V125" s="9" t="s">
        <v>39</v>
      </c>
      <c r="W125" s="9" t="s">
        <v>40</v>
      </c>
      <c r="X125" s="10"/>
      <c r="Y125" s="38" t="s">
        <v>39</v>
      </c>
      <c r="Z125" s="41">
        <v>0</v>
      </c>
      <c r="AA125" s="44"/>
      <c r="AB125" s="44"/>
      <c r="AC125" s="5"/>
    </row>
    <row r="126" spans="1:29">
      <c r="A126" s="20" t="s">
        <v>508</v>
      </c>
      <c r="B126" s="9" t="s">
        <v>509</v>
      </c>
      <c r="C126" s="23">
        <v>12</v>
      </c>
      <c r="D126" s="26" t="s">
        <v>436</v>
      </c>
      <c r="E126" s="9" t="s">
        <v>510</v>
      </c>
      <c r="F126" s="9" t="s">
        <v>511</v>
      </c>
      <c r="G126" s="9" t="s">
        <v>58</v>
      </c>
      <c r="H126" s="9" t="s">
        <v>35</v>
      </c>
      <c r="I126" s="14" t="e">
        <f ca="1">_xludf.MINIFS(VARIAN_STOK!$H$2:$H$333,VARIAN_STOK!$D$2:$D$333,$A126)</f>
        <v>#NAME?</v>
      </c>
      <c r="J126" s="14" t="e">
        <f ca="1">_xludf.MAXIFS(VARIAN_STOK!$H$2:$H$333,VARIAN_STOK!$D$2:$D$333,$A126)</f>
        <v>#NAME?</v>
      </c>
      <c r="K126" s="17">
        <f>SUMIF(VARIAN_STOK!$D$2:$D$333,$A126,VARIAN_STOK!$I$2:$I$333)</f>
        <v>1</v>
      </c>
      <c r="L126" s="17">
        <f>COUNTIF(VARIAN_STOK!$D$2:$D$333,$A126)</f>
        <v>1</v>
      </c>
      <c r="M126" s="9" t="s">
        <v>512</v>
      </c>
      <c r="N126" s="9"/>
      <c r="O126" s="9"/>
      <c r="P126" s="9"/>
      <c r="Q126" s="9"/>
      <c r="R126" s="9"/>
      <c r="S126" s="9"/>
      <c r="T126" s="9"/>
      <c r="U126" s="9" t="s">
        <v>39</v>
      </c>
      <c r="V126" s="9" t="s">
        <v>39</v>
      </c>
      <c r="W126" s="9" t="s">
        <v>40</v>
      </c>
      <c r="X126" s="10"/>
      <c r="Y126" s="38" t="s">
        <v>39</v>
      </c>
      <c r="Z126" s="41">
        <v>0</v>
      </c>
      <c r="AA126" s="44"/>
      <c r="AB126" s="44"/>
      <c r="AC126" s="5"/>
    </row>
    <row r="127" spans="1:29">
      <c r="A127" s="20" t="s">
        <v>513</v>
      </c>
      <c r="B127" s="9" t="s">
        <v>514</v>
      </c>
      <c r="C127" s="23">
        <v>12</v>
      </c>
      <c r="D127" s="26" t="s">
        <v>436</v>
      </c>
      <c r="E127" s="9" t="s">
        <v>515</v>
      </c>
      <c r="F127" s="9" t="s">
        <v>121</v>
      </c>
      <c r="G127" s="9" t="s">
        <v>58</v>
      </c>
      <c r="H127" s="9" t="s">
        <v>35</v>
      </c>
      <c r="I127" s="14" t="e">
        <f ca="1">_xludf.MINIFS(VARIAN_STOK!$H$2:$H$333,VARIAN_STOK!$D$2:$D$333,$A127)</f>
        <v>#NAME?</v>
      </c>
      <c r="J127" s="14" t="e">
        <f ca="1">_xludf.MAXIFS(VARIAN_STOK!$H$2:$H$333,VARIAN_STOK!$D$2:$D$333,$A127)</f>
        <v>#NAME?</v>
      </c>
      <c r="K127" s="17">
        <f>SUMIF(VARIAN_STOK!$D$2:$D$333,$A127,VARIAN_STOK!$I$2:$I$333)</f>
        <v>5</v>
      </c>
      <c r="L127" s="17">
        <f>COUNTIF(VARIAN_STOK!$D$2:$D$333,$A127)</f>
        <v>5</v>
      </c>
      <c r="M127" s="9" t="s">
        <v>516</v>
      </c>
      <c r="N127" s="9" t="s">
        <v>517</v>
      </c>
      <c r="O127" s="9"/>
      <c r="P127" s="9"/>
      <c r="Q127" s="9"/>
      <c r="R127" s="9"/>
      <c r="S127" s="9"/>
      <c r="T127" s="9"/>
      <c r="U127" s="9" t="s">
        <v>39</v>
      </c>
      <c r="V127" s="9" t="s">
        <v>39</v>
      </c>
      <c r="W127" s="9" t="s">
        <v>40</v>
      </c>
      <c r="X127" s="10"/>
      <c r="Y127" s="38" t="s">
        <v>39</v>
      </c>
      <c r="Z127" s="41">
        <v>0</v>
      </c>
      <c r="AA127" s="44"/>
      <c r="AB127" s="44"/>
      <c r="AC127" s="5"/>
    </row>
    <row r="128" spans="1:29">
      <c r="A128" s="20" t="s">
        <v>518</v>
      </c>
      <c r="B128" s="9" t="s">
        <v>519</v>
      </c>
      <c r="C128" s="23">
        <v>12</v>
      </c>
      <c r="D128" s="26" t="s">
        <v>436</v>
      </c>
      <c r="E128" s="9" t="s">
        <v>520</v>
      </c>
      <c r="F128" s="9" t="s">
        <v>48</v>
      </c>
      <c r="G128" s="9" t="s">
        <v>58</v>
      </c>
      <c r="H128" s="9" t="s">
        <v>35</v>
      </c>
      <c r="I128" s="14" t="e">
        <f ca="1">_xludf.MINIFS(VARIAN_STOK!$H$2:$H$333,VARIAN_STOK!$D$2:$D$333,$A128)</f>
        <v>#NAME?</v>
      </c>
      <c r="J128" s="14" t="e">
        <f ca="1">_xludf.MAXIFS(VARIAN_STOK!$H$2:$H$333,VARIAN_STOK!$D$2:$D$333,$A128)</f>
        <v>#NAME?</v>
      </c>
      <c r="K128" s="17">
        <f>SUMIF(VARIAN_STOK!$D$2:$D$333,$A128,VARIAN_STOK!$I$2:$I$333)</f>
        <v>1</v>
      </c>
      <c r="L128" s="17">
        <f>COUNTIF(VARIAN_STOK!$D$2:$D$333,$A128)</f>
        <v>1</v>
      </c>
      <c r="M128" s="9" t="s">
        <v>521</v>
      </c>
      <c r="N128" s="9"/>
      <c r="O128" s="9"/>
      <c r="P128" s="9"/>
      <c r="Q128" s="9"/>
      <c r="R128" s="9"/>
      <c r="S128" s="9"/>
      <c r="T128" s="9"/>
      <c r="U128" s="9" t="s">
        <v>39</v>
      </c>
      <c r="V128" s="9" t="s">
        <v>39</v>
      </c>
      <c r="W128" s="9" t="s">
        <v>40</v>
      </c>
      <c r="X128" s="10"/>
      <c r="Y128" s="38" t="s">
        <v>39</v>
      </c>
      <c r="Z128" s="41">
        <v>0</v>
      </c>
      <c r="AA128" s="44"/>
      <c r="AB128" s="44"/>
      <c r="AC128" s="5"/>
    </row>
    <row r="129" spans="1:29">
      <c r="A129" s="20" t="s">
        <v>522</v>
      </c>
      <c r="B129" s="9" t="s">
        <v>523</v>
      </c>
      <c r="C129" s="23">
        <v>12</v>
      </c>
      <c r="D129" s="26" t="s">
        <v>436</v>
      </c>
      <c r="E129" s="9" t="s">
        <v>524</v>
      </c>
      <c r="F129" s="9" t="s">
        <v>48</v>
      </c>
      <c r="G129" s="9" t="s">
        <v>58</v>
      </c>
      <c r="H129" s="9" t="s">
        <v>35</v>
      </c>
      <c r="I129" s="14" t="e">
        <f ca="1">_xludf.MINIFS(VARIAN_STOK!$H$2:$H$333,VARIAN_STOK!$D$2:$D$333,$A129)</f>
        <v>#NAME?</v>
      </c>
      <c r="J129" s="14" t="e">
        <f ca="1">_xludf.MAXIFS(VARIAN_STOK!$H$2:$H$333,VARIAN_STOK!$D$2:$D$333,$A129)</f>
        <v>#NAME?</v>
      </c>
      <c r="K129" s="17">
        <f>SUMIF(VARIAN_STOK!$D$2:$D$333,$A129,VARIAN_STOK!$I$2:$I$333)</f>
        <v>3</v>
      </c>
      <c r="L129" s="17">
        <f>COUNTIF(VARIAN_STOK!$D$2:$D$333,$A129)</f>
        <v>3</v>
      </c>
      <c r="M129" s="9" t="s">
        <v>525</v>
      </c>
      <c r="N129" s="9" t="s">
        <v>526</v>
      </c>
      <c r="O129" s="9"/>
      <c r="P129" s="9"/>
      <c r="Q129" s="9"/>
      <c r="R129" s="9"/>
      <c r="S129" s="9"/>
      <c r="T129" s="9"/>
      <c r="U129" s="9" t="s">
        <v>39</v>
      </c>
      <c r="V129" s="9" t="s">
        <v>39</v>
      </c>
      <c r="W129" s="9" t="s">
        <v>40</v>
      </c>
      <c r="X129" s="10"/>
      <c r="Y129" s="38" t="s">
        <v>39</v>
      </c>
      <c r="Z129" s="41">
        <v>0</v>
      </c>
      <c r="AA129" s="44"/>
      <c r="AB129" s="44"/>
      <c r="AC129" s="5"/>
    </row>
    <row r="130" spans="1:29">
      <c r="A130" s="20" t="s">
        <v>527</v>
      </c>
      <c r="B130" s="9" t="s">
        <v>528</v>
      </c>
      <c r="C130" s="23">
        <v>12</v>
      </c>
      <c r="D130" s="26" t="s">
        <v>436</v>
      </c>
      <c r="E130" s="9" t="s">
        <v>529</v>
      </c>
      <c r="F130" s="9" t="s">
        <v>48</v>
      </c>
      <c r="G130" s="9" t="s">
        <v>58</v>
      </c>
      <c r="H130" s="9" t="s">
        <v>35</v>
      </c>
      <c r="I130" s="14" t="e">
        <f ca="1">_xludf.MINIFS(VARIAN_STOK!$H$2:$H$333,VARIAN_STOK!$D$2:$D$333,$A130)</f>
        <v>#NAME?</v>
      </c>
      <c r="J130" s="14" t="e">
        <f ca="1">_xludf.MAXIFS(VARIAN_STOK!$H$2:$H$333,VARIAN_STOK!$D$2:$D$333,$A130)</f>
        <v>#NAME?</v>
      </c>
      <c r="K130" s="17">
        <f>SUMIF(VARIAN_STOK!$D$2:$D$333,$A130,VARIAN_STOK!$I$2:$I$333)</f>
        <v>3</v>
      </c>
      <c r="L130" s="17">
        <f>COUNTIF(VARIAN_STOK!$D$2:$D$333,$A130)</f>
        <v>2</v>
      </c>
      <c r="M130" s="9" t="s">
        <v>530</v>
      </c>
      <c r="N130" s="9"/>
      <c r="O130" s="9"/>
      <c r="P130" s="9"/>
      <c r="Q130" s="9"/>
      <c r="R130" s="9"/>
      <c r="S130" s="9"/>
      <c r="T130" s="9"/>
      <c r="U130" s="9" t="s">
        <v>39</v>
      </c>
      <c r="V130" s="9" t="s">
        <v>39</v>
      </c>
      <c r="W130" s="9" t="s">
        <v>40</v>
      </c>
      <c r="X130" s="10"/>
      <c r="Y130" s="38" t="s">
        <v>39</v>
      </c>
      <c r="Z130" s="41">
        <v>0</v>
      </c>
      <c r="AA130" s="44"/>
      <c r="AB130" s="44"/>
      <c r="AC130" s="5"/>
    </row>
    <row r="131" spans="1:29">
      <c r="A131" s="20" t="s">
        <v>531</v>
      </c>
      <c r="B131" s="9" t="s">
        <v>532</v>
      </c>
      <c r="C131" s="23">
        <v>14</v>
      </c>
      <c r="D131" s="26" t="s">
        <v>533</v>
      </c>
      <c r="E131" s="9" t="s">
        <v>534</v>
      </c>
      <c r="F131" s="9" t="s">
        <v>88</v>
      </c>
      <c r="G131" s="9" t="s">
        <v>58</v>
      </c>
      <c r="H131" s="9" t="s">
        <v>35</v>
      </c>
      <c r="I131" s="14" t="e">
        <f ca="1">_xludf.MINIFS(VARIAN_STOK!$H$2:$H$333,VARIAN_STOK!$D$2:$D$333,$A131)</f>
        <v>#NAME?</v>
      </c>
      <c r="J131" s="14" t="e">
        <f ca="1">_xludf.MAXIFS(VARIAN_STOK!$H$2:$H$333,VARIAN_STOK!$D$2:$D$333,$A131)</f>
        <v>#NAME?</v>
      </c>
      <c r="K131" s="17">
        <f>SUMIF(VARIAN_STOK!$D$2:$D$333,$A131,VARIAN_STOK!$I$2:$I$333)</f>
        <v>2</v>
      </c>
      <c r="L131" s="17">
        <f>COUNTIF(VARIAN_STOK!$D$2:$D$333,$A131)</f>
        <v>1</v>
      </c>
      <c r="M131" s="9" t="s">
        <v>535</v>
      </c>
      <c r="N131" s="9"/>
      <c r="O131" s="9"/>
      <c r="P131" s="9"/>
      <c r="Q131" s="9"/>
      <c r="R131" s="9"/>
      <c r="S131" s="9"/>
      <c r="T131" s="9"/>
      <c r="U131" s="9" t="s">
        <v>39</v>
      </c>
      <c r="V131" s="9" t="s">
        <v>39</v>
      </c>
      <c r="W131" s="9" t="s">
        <v>40</v>
      </c>
      <c r="X131" s="10"/>
      <c r="Y131" s="38" t="s">
        <v>39</v>
      </c>
      <c r="Z131" s="41">
        <v>0</v>
      </c>
      <c r="AA131" s="44"/>
      <c r="AB131" s="44"/>
      <c r="AC131" s="5"/>
    </row>
    <row r="132" spans="1:29">
      <c r="A132" s="20" t="s">
        <v>536</v>
      </c>
      <c r="B132" s="9" t="s">
        <v>537</v>
      </c>
      <c r="C132" s="23">
        <v>14</v>
      </c>
      <c r="D132" s="26" t="s">
        <v>533</v>
      </c>
      <c r="E132" s="9" t="s">
        <v>538</v>
      </c>
      <c r="F132" s="9" t="s">
        <v>48</v>
      </c>
      <c r="G132" s="9" t="s">
        <v>58</v>
      </c>
      <c r="H132" s="9" t="s">
        <v>35</v>
      </c>
      <c r="I132" s="14" t="e">
        <f ca="1">_xludf.MINIFS(VARIAN_STOK!$H$2:$H$333,VARIAN_STOK!$D$2:$D$333,$A132)</f>
        <v>#NAME?</v>
      </c>
      <c r="J132" s="14" t="e">
        <f ca="1">_xludf.MAXIFS(VARIAN_STOK!$H$2:$H$333,VARIAN_STOK!$D$2:$D$333,$A132)</f>
        <v>#NAME?</v>
      </c>
      <c r="K132" s="17">
        <f>SUMIF(VARIAN_STOK!$D$2:$D$333,$A132,VARIAN_STOK!$I$2:$I$333)</f>
        <v>1</v>
      </c>
      <c r="L132" s="17">
        <f>COUNTIF(VARIAN_STOK!$D$2:$D$333,$A132)</f>
        <v>1</v>
      </c>
      <c r="M132" s="9" t="s">
        <v>539</v>
      </c>
      <c r="N132" s="9"/>
      <c r="O132" s="9"/>
      <c r="P132" s="9"/>
      <c r="Q132" s="9"/>
      <c r="R132" s="9"/>
      <c r="S132" s="9"/>
      <c r="T132" s="9"/>
      <c r="U132" s="9" t="s">
        <v>39</v>
      </c>
      <c r="V132" s="9" t="s">
        <v>39</v>
      </c>
      <c r="W132" s="9" t="s">
        <v>40</v>
      </c>
      <c r="X132" s="10"/>
      <c r="Y132" s="38" t="s">
        <v>39</v>
      </c>
      <c r="Z132" s="41">
        <v>0</v>
      </c>
      <c r="AA132" s="44"/>
      <c r="AB132" s="44"/>
      <c r="AC132" s="5"/>
    </row>
    <row r="133" spans="1:29">
      <c r="A133" s="20" t="s">
        <v>540</v>
      </c>
      <c r="B133" s="9" t="s">
        <v>541</v>
      </c>
      <c r="C133" s="23">
        <v>15</v>
      </c>
      <c r="D133" s="26" t="s">
        <v>542</v>
      </c>
      <c r="E133" s="9" t="s">
        <v>543</v>
      </c>
      <c r="F133" s="9" t="s">
        <v>33</v>
      </c>
      <c r="G133" s="9" t="s">
        <v>58</v>
      </c>
      <c r="H133" s="9" t="s">
        <v>35</v>
      </c>
      <c r="I133" s="14" t="e">
        <f ca="1">_xludf.MINIFS(VARIAN_STOK!$H$2:$H$333,VARIAN_STOK!$D$2:$D$333,$A133)</f>
        <v>#NAME?</v>
      </c>
      <c r="J133" s="14" t="e">
        <f ca="1">_xludf.MAXIFS(VARIAN_STOK!$H$2:$H$333,VARIAN_STOK!$D$2:$D$333,$A133)</f>
        <v>#NAME?</v>
      </c>
      <c r="K133" s="17">
        <f>SUMIF(VARIAN_STOK!$D$2:$D$333,$A133,VARIAN_STOK!$I$2:$I$333)</f>
        <v>4</v>
      </c>
      <c r="L133" s="17">
        <f>COUNTIF(VARIAN_STOK!$D$2:$D$333,$A133)</f>
        <v>4</v>
      </c>
      <c r="M133" s="9" t="s">
        <v>544</v>
      </c>
      <c r="N133" s="9" t="s">
        <v>545</v>
      </c>
      <c r="O133" s="9"/>
      <c r="P133" s="9"/>
      <c r="Q133" s="9"/>
      <c r="R133" s="9"/>
      <c r="S133" s="9"/>
      <c r="T133" s="9"/>
      <c r="U133" s="9" t="s">
        <v>39</v>
      </c>
      <c r="V133" s="9" t="s">
        <v>39</v>
      </c>
      <c r="W133" s="9" t="s">
        <v>40</v>
      </c>
      <c r="X133" s="10"/>
      <c r="Y133" s="38" t="s">
        <v>39</v>
      </c>
      <c r="Z133" s="41">
        <v>0</v>
      </c>
      <c r="AA133" s="44"/>
      <c r="AB133" s="44"/>
      <c r="AC133" s="5"/>
    </row>
    <row r="134" spans="1:29">
      <c r="A134" s="20" t="s">
        <v>546</v>
      </c>
      <c r="B134" s="9" t="s">
        <v>547</v>
      </c>
      <c r="C134" s="23">
        <v>15</v>
      </c>
      <c r="D134" s="26" t="s">
        <v>542</v>
      </c>
      <c r="E134" s="9" t="s">
        <v>548</v>
      </c>
      <c r="F134" s="9" t="s">
        <v>33</v>
      </c>
      <c r="G134" s="9" t="s">
        <v>58</v>
      </c>
      <c r="H134" s="9" t="s">
        <v>35</v>
      </c>
      <c r="I134" s="14" t="e">
        <f ca="1">_xludf.MINIFS(VARIAN_STOK!$H$2:$H$333,VARIAN_STOK!$D$2:$D$333,$A134)</f>
        <v>#NAME?</v>
      </c>
      <c r="J134" s="14" t="e">
        <f ca="1">_xludf.MAXIFS(VARIAN_STOK!$H$2:$H$333,VARIAN_STOK!$D$2:$D$333,$A134)</f>
        <v>#NAME?</v>
      </c>
      <c r="K134" s="17">
        <f>SUMIF(VARIAN_STOK!$D$2:$D$333,$A134,VARIAN_STOK!$I$2:$I$333)</f>
        <v>7</v>
      </c>
      <c r="L134" s="17">
        <f>COUNTIF(VARIAN_STOK!$D$2:$D$333,$A134)</f>
        <v>5</v>
      </c>
      <c r="M134" s="9" t="s">
        <v>549</v>
      </c>
      <c r="N134" s="9" t="s">
        <v>37</v>
      </c>
      <c r="O134" s="9"/>
      <c r="P134" s="9"/>
      <c r="Q134" s="9"/>
      <c r="R134" s="9"/>
      <c r="S134" s="9"/>
      <c r="T134" s="9"/>
      <c r="U134" s="9" t="s">
        <v>39</v>
      </c>
      <c r="V134" s="9" t="s">
        <v>39</v>
      </c>
      <c r="W134" s="9" t="s">
        <v>40</v>
      </c>
      <c r="X134" s="10"/>
      <c r="Y134" s="38" t="s">
        <v>39</v>
      </c>
      <c r="Z134" s="41">
        <v>0</v>
      </c>
      <c r="AA134" s="44"/>
      <c r="AB134" s="44"/>
      <c r="AC134" s="5"/>
    </row>
    <row r="135" spans="1:29">
      <c r="A135" s="20" t="s">
        <v>550</v>
      </c>
      <c r="B135" s="9" t="s">
        <v>551</v>
      </c>
      <c r="C135" s="23">
        <v>15</v>
      </c>
      <c r="D135" s="26" t="s">
        <v>542</v>
      </c>
      <c r="E135" s="9" t="s">
        <v>552</v>
      </c>
      <c r="F135" s="9" t="s">
        <v>33</v>
      </c>
      <c r="G135" s="9" t="s">
        <v>34</v>
      </c>
      <c r="H135" s="9" t="s">
        <v>35</v>
      </c>
      <c r="I135" s="14" t="e">
        <f ca="1">_xludf.MINIFS(VARIAN_STOK!$H$2:$H$333,VARIAN_STOK!$D$2:$D$333,$A135)</f>
        <v>#NAME?</v>
      </c>
      <c r="J135" s="14" t="e">
        <f ca="1">_xludf.MAXIFS(VARIAN_STOK!$H$2:$H$333,VARIAN_STOK!$D$2:$D$333,$A135)</f>
        <v>#NAME?</v>
      </c>
      <c r="K135" s="17">
        <f>SUMIF(VARIAN_STOK!$D$2:$D$333,$A135,VARIAN_STOK!$I$2:$I$333)</f>
        <v>1</v>
      </c>
      <c r="L135" s="17">
        <f>COUNTIF(VARIAN_STOK!$D$2:$D$333,$A135)</f>
        <v>1</v>
      </c>
      <c r="M135" s="9" t="s">
        <v>553</v>
      </c>
      <c r="N135" s="9" t="s">
        <v>554</v>
      </c>
      <c r="O135" s="9"/>
      <c r="P135" s="9"/>
      <c r="Q135" s="9"/>
      <c r="R135" s="9"/>
      <c r="S135" s="9"/>
      <c r="T135" s="9"/>
      <c r="U135" s="9" t="s">
        <v>39</v>
      </c>
      <c r="V135" s="9" t="s">
        <v>39</v>
      </c>
      <c r="W135" s="9" t="s">
        <v>40</v>
      </c>
      <c r="X135" s="10"/>
      <c r="Y135" s="38" t="s">
        <v>39</v>
      </c>
      <c r="Z135" s="41">
        <v>0</v>
      </c>
      <c r="AA135" s="44"/>
      <c r="AB135" s="44"/>
      <c r="AC135" s="5"/>
    </row>
    <row r="136" spans="1:29">
      <c r="A136" s="20" t="s">
        <v>555</v>
      </c>
      <c r="B136" s="9" t="s">
        <v>556</v>
      </c>
      <c r="C136" s="23">
        <v>15</v>
      </c>
      <c r="D136" s="26" t="s">
        <v>542</v>
      </c>
      <c r="E136" s="9" t="s">
        <v>557</v>
      </c>
      <c r="F136" s="9" t="s">
        <v>33</v>
      </c>
      <c r="G136" s="9" t="s">
        <v>58</v>
      </c>
      <c r="H136" s="9" t="s">
        <v>35</v>
      </c>
      <c r="I136" s="14" t="e">
        <f ca="1">_xludf.MINIFS(VARIAN_STOK!$H$2:$H$333,VARIAN_STOK!$D$2:$D$333,$A136)</f>
        <v>#NAME?</v>
      </c>
      <c r="J136" s="14" t="e">
        <f ca="1">_xludf.MAXIFS(VARIAN_STOK!$H$2:$H$333,VARIAN_STOK!$D$2:$D$333,$A136)</f>
        <v>#NAME?</v>
      </c>
      <c r="K136" s="17">
        <f>SUMIF(VARIAN_STOK!$D$2:$D$333,$A136,VARIAN_STOK!$I$2:$I$333)</f>
        <v>1</v>
      </c>
      <c r="L136" s="17">
        <f>COUNTIF(VARIAN_STOK!$D$2:$D$333,$A136)</f>
        <v>1</v>
      </c>
      <c r="M136" s="9" t="s">
        <v>558</v>
      </c>
      <c r="N136" s="9" t="s">
        <v>399</v>
      </c>
      <c r="O136" s="9"/>
      <c r="P136" s="9"/>
      <c r="Q136" s="9"/>
      <c r="R136" s="9"/>
      <c r="S136" s="9"/>
      <c r="T136" s="9"/>
      <c r="U136" s="9" t="s">
        <v>39</v>
      </c>
      <c r="V136" s="9" t="s">
        <v>39</v>
      </c>
      <c r="W136" s="9" t="s">
        <v>40</v>
      </c>
      <c r="X136" s="10"/>
      <c r="Y136" s="38" t="s">
        <v>39</v>
      </c>
      <c r="Z136" s="41">
        <v>0</v>
      </c>
      <c r="AA136" s="44"/>
      <c r="AB136" s="44"/>
      <c r="AC136" s="5"/>
    </row>
    <row r="137" spans="1:29">
      <c r="A137" s="20" t="s">
        <v>559</v>
      </c>
      <c r="B137" s="9" t="s">
        <v>560</v>
      </c>
      <c r="C137" s="23">
        <v>15</v>
      </c>
      <c r="D137" s="26" t="s">
        <v>542</v>
      </c>
      <c r="E137" s="9" t="s">
        <v>561</v>
      </c>
      <c r="F137" s="9" t="s">
        <v>33</v>
      </c>
      <c r="G137" s="9" t="s">
        <v>58</v>
      </c>
      <c r="H137" s="9" t="s">
        <v>35</v>
      </c>
      <c r="I137" s="14" t="e">
        <f ca="1">_xludf.MINIFS(VARIAN_STOK!$H$2:$H$333,VARIAN_STOK!$D$2:$D$333,$A137)</f>
        <v>#NAME?</v>
      </c>
      <c r="J137" s="14" t="e">
        <f ca="1">_xludf.MAXIFS(VARIAN_STOK!$H$2:$H$333,VARIAN_STOK!$D$2:$D$333,$A137)</f>
        <v>#NAME?</v>
      </c>
      <c r="K137" s="17">
        <f>SUMIF(VARIAN_STOK!$D$2:$D$333,$A137,VARIAN_STOK!$I$2:$I$333)</f>
        <v>8</v>
      </c>
      <c r="L137" s="17">
        <f>COUNTIF(VARIAN_STOK!$D$2:$D$333,$A137)</f>
        <v>8</v>
      </c>
      <c r="M137" s="9" t="s">
        <v>562</v>
      </c>
      <c r="N137" s="9" t="s">
        <v>413</v>
      </c>
      <c r="O137" s="9"/>
      <c r="P137" s="9"/>
      <c r="Q137" s="9"/>
      <c r="R137" s="9"/>
      <c r="S137" s="9"/>
      <c r="T137" s="9"/>
      <c r="U137" s="9" t="s">
        <v>39</v>
      </c>
      <c r="V137" s="9" t="s">
        <v>39</v>
      </c>
      <c r="W137" s="9" t="s">
        <v>40</v>
      </c>
      <c r="X137" s="10"/>
      <c r="Y137" s="38" t="s">
        <v>39</v>
      </c>
      <c r="Z137" s="41">
        <v>0</v>
      </c>
      <c r="AA137" s="44"/>
      <c r="AB137" s="44"/>
      <c r="AC137" s="5"/>
    </row>
    <row r="138" spans="1:29">
      <c r="A138" s="20" t="s">
        <v>563</v>
      </c>
      <c r="B138" s="9" t="s">
        <v>564</v>
      </c>
      <c r="C138" s="23">
        <v>15</v>
      </c>
      <c r="D138" s="26" t="s">
        <v>542</v>
      </c>
      <c r="E138" s="9" t="s">
        <v>565</v>
      </c>
      <c r="F138" s="9" t="s">
        <v>33</v>
      </c>
      <c r="G138" s="9" t="s">
        <v>34</v>
      </c>
      <c r="H138" s="9" t="s">
        <v>35</v>
      </c>
      <c r="I138" s="14" t="e">
        <f ca="1">_xludf.MINIFS(VARIAN_STOK!$H$2:$H$333,VARIAN_STOK!$D$2:$D$333,$A138)</f>
        <v>#NAME?</v>
      </c>
      <c r="J138" s="14" t="e">
        <f ca="1">_xludf.MAXIFS(VARIAN_STOK!$H$2:$H$333,VARIAN_STOK!$D$2:$D$333,$A138)</f>
        <v>#NAME?</v>
      </c>
      <c r="K138" s="17">
        <f>SUMIF(VARIAN_STOK!$D$2:$D$333,$A138,VARIAN_STOK!$I$2:$I$333)</f>
        <v>2</v>
      </c>
      <c r="L138" s="17">
        <f>COUNTIF(VARIAN_STOK!$D$2:$D$333,$A138)</f>
        <v>2</v>
      </c>
      <c r="M138" s="9" t="s">
        <v>566</v>
      </c>
      <c r="N138" s="9" t="s">
        <v>567</v>
      </c>
      <c r="O138" s="9"/>
      <c r="P138" s="9"/>
      <c r="Q138" s="9"/>
      <c r="R138" s="9"/>
      <c r="S138" s="9"/>
      <c r="T138" s="9"/>
      <c r="U138" s="9" t="s">
        <v>39</v>
      </c>
      <c r="V138" s="9" t="s">
        <v>39</v>
      </c>
      <c r="W138" s="9" t="s">
        <v>40</v>
      </c>
      <c r="X138" s="10"/>
      <c r="Y138" s="38" t="s">
        <v>39</v>
      </c>
      <c r="Z138" s="41">
        <v>0</v>
      </c>
      <c r="AA138" s="44"/>
      <c r="AB138" s="44"/>
      <c r="AC138" s="5"/>
    </row>
    <row r="139" spans="1:29">
      <c r="A139" s="20" t="s">
        <v>568</v>
      </c>
      <c r="B139" s="9" t="s">
        <v>569</v>
      </c>
      <c r="C139" s="23">
        <v>15</v>
      </c>
      <c r="D139" s="26" t="s">
        <v>542</v>
      </c>
      <c r="E139" s="9" t="s">
        <v>570</v>
      </c>
      <c r="F139" s="9" t="s">
        <v>48</v>
      </c>
      <c r="G139" s="9" t="s">
        <v>34</v>
      </c>
      <c r="H139" s="9" t="s">
        <v>35</v>
      </c>
      <c r="I139" s="14" t="e">
        <f ca="1">_xludf.MINIFS(VARIAN_STOK!$H$2:$H$333,VARIAN_STOK!$D$2:$D$333,$A139)</f>
        <v>#NAME?</v>
      </c>
      <c r="J139" s="14" t="e">
        <f ca="1">_xludf.MAXIFS(VARIAN_STOK!$H$2:$H$333,VARIAN_STOK!$D$2:$D$333,$A139)</f>
        <v>#NAME?</v>
      </c>
      <c r="K139" s="17">
        <f>SUMIF(VARIAN_STOK!$D$2:$D$333,$A139,VARIAN_STOK!$I$2:$I$333)</f>
        <v>4</v>
      </c>
      <c r="L139" s="17">
        <f>COUNTIF(VARIAN_STOK!$D$2:$D$333,$A139)</f>
        <v>4</v>
      </c>
      <c r="M139" s="9" t="s">
        <v>571</v>
      </c>
      <c r="N139" s="9" t="s">
        <v>377</v>
      </c>
      <c r="O139" s="9"/>
      <c r="P139" s="9"/>
      <c r="Q139" s="9"/>
      <c r="R139" s="9"/>
      <c r="S139" s="9"/>
      <c r="T139" s="9"/>
      <c r="U139" s="9" t="s">
        <v>39</v>
      </c>
      <c r="V139" s="9" t="s">
        <v>39</v>
      </c>
      <c r="W139" s="9" t="s">
        <v>40</v>
      </c>
      <c r="X139" s="10"/>
      <c r="Y139" s="38" t="s">
        <v>39</v>
      </c>
      <c r="Z139" s="41">
        <v>0</v>
      </c>
      <c r="AA139" s="44"/>
      <c r="AB139" s="44"/>
      <c r="AC139" s="5"/>
    </row>
    <row r="140" spans="1:29">
      <c r="A140" s="20" t="s">
        <v>572</v>
      </c>
      <c r="B140" s="9" t="s">
        <v>573</v>
      </c>
      <c r="C140" s="23">
        <v>15</v>
      </c>
      <c r="D140" s="26" t="s">
        <v>542</v>
      </c>
      <c r="E140" s="9" t="s">
        <v>574</v>
      </c>
      <c r="F140" s="9" t="s">
        <v>48</v>
      </c>
      <c r="G140" s="9" t="s">
        <v>34</v>
      </c>
      <c r="H140" s="9" t="s">
        <v>35</v>
      </c>
      <c r="I140" s="14" t="e">
        <f ca="1">_xludf.MINIFS(VARIAN_STOK!$H$2:$H$333,VARIAN_STOK!$D$2:$D$333,$A140)</f>
        <v>#NAME?</v>
      </c>
      <c r="J140" s="14" t="e">
        <f ca="1">_xludf.MAXIFS(VARIAN_STOK!$H$2:$H$333,VARIAN_STOK!$D$2:$D$333,$A140)</f>
        <v>#NAME?</v>
      </c>
      <c r="K140" s="17">
        <f>SUMIF(VARIAN_STOK!$D$2:$D$333,$A140,VARIAN_STOK!$I$2:$I$333)</f>
        <v>1</v>
      </c>
      <c r="L140" s="17">
        <f>COUNTIF(VARIAN_STOK!$D$2:$D$333,$A140)</f>
        <v>1</v>
      </c>
      <c r="M140" s="9" t="s">
        <v>566</v>
      </c>
      <c r="N140" s="9" t="s">
        <v>177</v>
      </c>
      <c r="O140" s="9"/>
      <c r="P140" s="9"/>
      <c r="Q140" s="9"/>
      <c r="R140" s="9"/>
      <c r="S140" s="9"/>
      <c r="T140" s="9"/>
      <c r="U140" s="9" t="s">
        <v>39</v>
      </c>
      <c r="V140" s="9" t="s">
        <v>39</v>
      </c>
      <c r="W140" s="9" t="s">
        <v>40</v>
      </c>
      <c r="X140" s="10"/>
      <c r="Y140" s="38" t="s">
        <v>39</v>
      </c>
      <c r="Z140" s="41">
        <v>0</v>
      </c>
      <c r="AA140" s="44"/>
      <c r="AB140" s="44"/>
      <c r="AC140" s="5"/>
    </row>
    <row r="141" spans="1:29">
      <c r="A141" s="20" t="s">
        <v>575</v>
      </c>
      <c r="B141" s="9" t="s">
        <v>576</v>
      </c>
      <c r="C141" s="23">
        <v>15</v>
      </c>
      <c r="D141" s="26" t="s">
        <v>542</v>
      </c>
      <c r="E141" s="9" t="s">
        <v>577</v>
      </c>
      <c r="F141" s="9" t="s">
        <v>48</v>
      </c>
      <c r="G141" s="9" t="s">
        <v>34</v>
      </c>
      <c r="H141" s="9" t="s">
        <v>35</v>
      </c>
      <c r="I141" s="14" t="e">
        <f ca="1">_xludf.MINIFS(VARIAN_STOK!$H$2:$H$333,VARIAN_STOK!$D$2:$D$333,$A141)</f>
        <v>#NAME?</v>
      </c>
      <c r="J141" s="14" t="e">
        <f ca="1">_xludf.MAXIFS(VARIAN_STOK!$H$2:$H$333,VARIAN_STOK!$D$2:$D$333,$A141)</f>
        <v>#NAME?</v>
      </c>
      <c r="K141" s="17">
        <f>SUMIF(VARIAN_STOK!$D$2:$D$333,$A141,VARIAN_STOK!$I$2:$I$333)</f>
        <v>14</v>
      </c>
      <c r="L141" s="17">
        <f>COUNTIF(VARIAN_STOK!$D$2:$D$333,$A141)</f>
        <v>14</v>
      </c>
      <c r="M141" s="9" t="s">
        <v>578</v>
      </c>
      <c r="N141" s="9" t="s">
        <v>579</v>
      </c>
      <c r="O141" s="9"/>
      <c r="P141" s="9"/>
      <c r="Q141" s="9"/>
      <c r="R141" s="9"/>
      <c r="S141" s="9"/>
      <c r="T141" s="9"/>
      <c r="U141" s="9" t="s">
        <v>39</v>
      </c>
      <c r="V141" s="9" t="s">
        <v>39</v>
      </c>
      <c r="W141" s="9" t="s">
        <v>40</v>
      </c>
      <c r="X141" s="10"/>
      <c r="Y141" s="38" t="s">
        <v>39</v>
      </c>
      <c r="Z141" s="41">
        <v>0</v>
      </c>
      <c r="AA141" s="44"/>
      <c r="AB141" s="44"/>
      <c r="AC141" s="5"/>
    </row>
    <row r="142" spans="1:29">
      <c r="A142" s="20" t="s">
        <v>580</v>
      </c>
      <c r="B142" s="9" t="s">
        <v>581</v>
      </c>
      <c r="C142" s="23">
        <v>17</v>
      </c>
      <c r="D142" s="26" t="s">
        <v>582</v>
      </c>
      <c r="E142" s="9" t="s">
        <v>583</v>
      </c>
      <c r="F142" s="9" t="s">
        <v>239</v>
      </c>
      <c r="G142" s="9" t="s">
        <v>58</v>
      </c>
      <c r="H142" s="9" t="s">
        <v>35</v>
      </c>
      <c r="I142" s="14" t="e">
        <f ca="1">_xludf.MINIFS(VARIAN_STOK!$H$2:$H$333,VARIAN_STOK!$D$2:$D$333,$A142)</f>
        <v>#NAME?</v>
      </c>
      <c r="J142" s="14" t="e">
        <f ca="1">_xludf.MAXIFS(VARIAN_STOK!$H$2:$H$333,VARIAN_STOK!$D$2:$D$333,$A142)</f>
        <v>#NAME?</v>
      </c>
      <c r="K142" s="17">
        <f>SUMIF(VARIAN_STOK!$D$2:$D$333,$A142,VARIAN_STOK!$I$2:$I$333)</f>
        <v>3</v>
      </c>
      <c r="L142" s="17">
        <f>COUNTIF(VARIAN_STOK!$D$2:$D$333,$A142)</f>
        <v>2</v>
      </c>
      <c r="M142" s="9" t="s">
        <v>584</v>
      </c>
      <c r="N142" s="9"/>
      <c r="O142" s="9"/>
      <c r="P142" s="9"/>
      <c r="Q142" s="9"/>
      <c r="R142" s="9"/>
      <c r="S142" s="9"/>
      <c r="T142" s="9"/>
      <c r="U142" s="9" t="s">
        <v>39</v>
      </c>
      <c r="V142" s="9" t="s">
        <v>39</v>
      </c>
      <c r="W142" s="9" t="s">
        <v>40</v>
      </c>
      <c r="X142" s="10"/>
      <c r="Y142" s="38" t="s">
        <v>39</v>
      </c>
      <c r="Z142" s="41">
        <v>0</v>
      </c>
      <c r="AA142" s="44"/>
      <c r="AB142" s="44"/>
      <c r="AC142" s="5"/>
    </row>
    <row r="143" spans="1:29">
      <c r="A143" s="20" t="s">
        <v>585</v>
      </c>
      <c r="B143" s="9" t="s">
        <v>586</v>
      </c>
      <c r="C143" s="23">
        <v>17</v>
      </c>
      <c r="D143" s="26" t="s">
        <v>582</v>
      </c>
      <c r="E143" s="9" t="s">
        <v>587</v>
      </c>
      <c r="F143" s="9" t="s">
        <v>239</v>
      </c>
      <c r="G143" s="9" t="s">
        <v>58</v>
      </c>
      <c r="H143" s="9" t="s">
        <v>35</v>
      </c>
      <c r="I143" s="14" t="e">
        <f ca="1">_xludf.MINIFS(VARIAN_STOK!$H$2:$H$333,VARIAN_STOK!$D$2:$D$333,$A143)</f>
        <v>#NAME?</v>
      </c>
      <c r="J143" s="14" t="e">
        <f ca="1">_xludf.MAXIFS(VARIAN_STOK!$H$2:$H$333,VARIAN_STOK!$D$2:$D$333,$A143)</f>
        <v>#NAME?</v>
      </c>
      <c r="K143" s="17">
        <f>SUMIF(VARIAN_STOK!$D$2:$D$333,$A143,VARIAN_STOK!$I$2:$I$333)</f>
        <v>1</v>
      </c>
      <c r="L143" s="17">
        <f>COUNTIF(VARIAN_STOK!$D$2:$D$333,$A143)</f>
        <v>1</v>
      </c>
      <c r="M143" s="9" t="s">
        <v>588</v>
      </c>
      <c r="N143" s="9"/>
      <c r="O143" s="9"/>
      <c r="P143" s="9"/>
      <c r="Q143" s="9"/>
      <c r="R143" s="9"/>
      <c r="S143" s="9"/>
      <c r="T143" s="9"/>
      <c r="U143" s="9" t="s">
        <v>39</v>
      </c>
      <c r="V143" s="9" t="s">
        <v>39</v>
      </c>
      <c r="W143" s="9" t="s">
        <v>40</v>
      </c>
      <c r="X143" s="10"/>
      <c r="Y143" s="38" t="s">
        <v>39</v>
      </c>
      <c r="Z143" s="41">
        <v>0</v>
      </c>
      <c r="AA143" s="44"/>
      <c r="AB143" s="44"/>
      <c r="AC143" s="5"/>
    </row>
    <row r="144" spans="1:29">
      <c r="A144" s="20" t="s">
        <v>589</v>
      </c>
      <c r="B144" s="9" t="s">
        <v>590</v>
      </c>
      <c r="C144" s="23">
        <v>17</v>
      </c>
      <c r="D144" s="26" t="s">
        <v>582</v>
      </c>
      <c r="E144" s="9" t="s">
        <v>591</v>
      </c>
      <c r="F144" s="9" t="s">
        <v>239</v>
      </c>
      <c r="G144" s="9" t="s">
        <v>58</v>
      </c>
      <c r="H144" s="9" t="s">
        <v>35</v>
      </c>
      <c r="I144" s="14" t="e">
        <f ca="1">_xludf.MINIFS(VARIAN_STOK!$H$2:$H$333,VARIAN_STOK!$D$2:$D$333,$A144)</f>
        <v>#NAME?</v>
      </c>
      <c r="J144" s="14" t="e">
        <f ca="1">_xludf.MAXIFS(VARIAN_STOK!$H$2:$H$333,VARIAN_STOK!$D$2:$D$333,$A144)</f>
        <v>#NAME?</v>
      </c>
      <c r="K144" s="17">
        <f>SUMIF(VARIAN_STOK!$D$2:$D$333,$A144,VARIAN_STOK!$I$2:$I$333)</f>
        <v>1</v>
      </c>
      <c r="L144" s="17">
        <f>COUNTIF(VARIAN_STOK!$D$2:$D$333,$A144)</f>
        <v>1</v>
      </c>
      <c r="M144" s="9" t="s">
        <v>592</v>
      </c>
      <c r="N144" s="9"/>
      <c r="O144" s="9"/>
      <c r="P144" s="9"/>
      <c r="Q144" s="9"/>
      <c r="R144" s="9"/>
      <c r="S144" s="9"/>
      <c r="T144" s="9"/>
      <c r="U144" s="9" t="s">
        <v>39</v>
      </c>
      <c r="V144" s="9" t="s">
        <v>39</v>
      </c>
      <c r="W144" s="9" t="s">
        <v>40</v>
      </c>
      <c r="X144" s="10"/>
      <c r="Y144" s="38" t="s">
        <v>39</v>
      </c>
      <c r="Z144" s="41">
        <v>0</v>
      </c>
      <c r="AA144" s="44"/>
      <c r="AB144" s="44"/>
      <c r="AC144" s="5"/>
    </row>
    <row r="145" spans="1:29">
      <c r="A145" s="20" t="s">
        <v>593</v>
      </c>
      <c r="B145" s="9" t="s">
        <v>594</v>
      </c>
      <c r="C145" s="23">
        <v>18</v>
      </c>
      <c r="D145" s="26" t="s">
        <v>595</v>
      </c>
      <c r="E145" s="9" t="s">
        <v>596</v>
      </c>
      <c r="F145" s="9" t="s">
        <v>33</v>
      </c>
      <c r="G145" s="9" t="s">
        <v>58</v>
      </c>
      <c r="H145" s="9" t="s">
        <v>35</v>
      </c>
      <c r="I145" s="14" t="e">
        <f ca="1">_xludf.MINIFS(VARIAN_STOK!$H$2:$H$333,VARIAN_STOK!$D$2:$D$333,$A145)</f>
        <v>#NAME?</v>
      </c>
      <c r="J145" s="14" t="e">
        <f ca="1">_xludf.MAXIFS(VARIAN_STOK!$H$2:$H$333,VARIAN_STOK!$D$2:$D$333,$A145)</f>
        <v>#NAME?</v>
      </c>
      <c r="K145" s="17">
        <f>SUMIF(VARIAN_STOK!$D$2:$D$333,$A145,VARIAN_STOK!$I$2:$I$333)</f>
        <v>5</v>
      </c>
      <c r="L145" s="17">
        <f>COUNTIF(VARIAN_STOK!$D$2:$D$333,$A145)</f>
        <v>4</v>
      </c>
      <c r="M145" s="9" t="s">
        <v>597</v>
      </c>
      <c r="N145" s="9"/>
      <c r="O145" s="9"/>
      <c r="P145" s="9"/>
      <c r="Q145" s="9"/>
      <c r="R145" s="9"/>
      <c r="S145" s="9"/>
      <c r="T145" s="9"/>
      <c r="U145" s="9" t="s">
        <v>39</v>
      </c>
      <c r="V145" s="9" t="s">
        <v>39</v>
      </c>
      <c r="W145" s="9" t="s">
        <v>40</v>
      </c>
      <c r="X145" s="10"/>
      <c r="Y145" s="38" t="s">
        <v>39</v>
      </c>
      <c r="Z145" s="41">
        <v>0</v>
      </c>
      <c r="AA145" s="44"/>
      <c r="AB145" s="44"/>
      <c r="AC145" s="5"/>
    </row>
    <row r="146" spans="1:29">
      <c r="A146" s="20" t="s">
        <v>598</v>
      </c>
      <c r="B146" s="9" t="s">
        <v>599</v>
      </c>
      <c r="C146" s="23">
        <v>21</v>
      </c>
      <c r="D146" s="26" t="s">
        <v>600</v>
      </c>
      <c r="E146" s="9" t="s">
        <v>601</v>
      </c>
      <c r="F146" s="9" t="s">
        <v>371</v>
      </c>
      <c r="G146" s="9" t="s">
        <v>58</v>
      </c>
      <c r="H146" s="9" t="s">
        <v>602</v>
      </c>
      <c r="I146" s="14" t="e">
        <f ca="1">_xludf.MINIFS(VARIAN_STOK!$H$2:$H$333,VARIAN_STOK!$D$2:$D$333,$A146)</f>
        <v>#NAME?</v>
      </c>
      <c r="J146" s="14" t="e">
        <f ca="1">_xludf.MAXIFS(VARIAN_STOK!$H$2:$H$333,VARIAN_STOK!$D$2:$D$333,$A146)</f>
        <v>#NAME?</v>
      </c>
      <c r="K146" s="17">
        <f>SUMIF(VARIAN_STOK!$D$2:$D$333,$A146,VARIAN_STOK!$I$2:$I$333)</f>
        <v>1</v>
      </c>
      <c r="L146" s="17">
        <f>COUNTIF(VARIAN_STOK!$D$2:$D$333,$A146)</f>
        <v>1</v>
      </c>
      <c r="M146" s="9"/>
      <c r="N146" s="9"/>
      <c r="O146" s="9"/>
      <c r="P146" s="9"/>
      <c r="Q146" s="9"/>
      <c r="R146" s="9"/>
      <c r="S146" s="9"/>
      <c r="T146" s="9"/>
      <c r="U146" s="9" t="s">
        <v>39</v>
      </c>
      <c r="V146" s="9" t="s">
        <v>39</v>
      </c>
      <c r="W146" s="9" t="s">
        <v>40</v>
      </c>
      <c r="X146" s="10"/>
      <c r="Y146" s="38" t="s">
        <v>39</v>
      </c>
      <c r="Z146" s="41">
        <v>0</v>
      </c>
      <c r="AA146" s="44"/>
      <c r="AB146" s="44"/>
      <c r="AC146" s="5"/>
    </row>
    <row r="147" spans="1:29">
      <c r="A147" s="20" t="s">
        <v>603</v>
      </c>
      <c r="B147" s="9" t="s">
        <v>604</v>
      </c>
      <c r="C147" s="23">
        <v>21</v>
      </c>
      <c r="D147" s="26" t="s">
        <v>600</v>
      </c>
      <c r="E147" s="9" t="s">
        <v>605</v>
      </c>
      <c r="F147" s="9" t="s">
        <v>33</v>
      </c>
      <c r="G147" s="9" t="s">
        <v>58</v>
      </c>
      <c r="H147" s="9" t="s">
        <v>602</v>
      </c>
      <c r="I147" s="14" t="e">
        <f ca="1">_xludf.MINIFS(VARIAN_STOK!$H$2:$H$333,VARIAN_STOK!$D$2:$D$333,$A147)</f>
        <v>#NAME?</v>
      </c>
      <c r="J147" s="14" t="e">
        <f ca="1">_xludf.MAXIFS(VARIAN_STOK!$H$2:$H$333,VARIAN_STOK!$D$2:$D$333,$A147)</f>
        <v>#NAME?</v>
      </c>
      <c r="K147" s="17">
        <f>SUMIF(VARIAN_STOK!$D$2:$D$333,$A147,VARIAN_STOK!$I$2:$I$333)</f>
        <v>1</v>
      </c>
      <c r="L147" s="17">
        <f>COUNTIF(VARIAN_STOK!$D$2:$D$333,$A147)</f>
        <v>1</v>
      </c>
      <c r="M147" s="9"/>
      <c r="N147" s="9" t="s">
        <v>606</v>
      </c>
      <c r="O147" s="9"/>
      <c r="P147" s="9"/>
      <c r="Q147" s="9"/>
      <c r="R147" s="9"/>
      <c r="S147" s="9"/>
      <c r="T147" s="9"/>
      <c r="U147" s="9" t="s">
        <v>39</v>
      </c>
      <c r="V147" s="9" t="s">
        <v>39</v>
      </c>
      <c r="W147" s="9" t="s">
        <v>40</v>
      </c>
      <c r="X147" s="10"/>
      <c r="Y147" s="38" t="s">
        <v>39</v>
      </c>
      <c r="Z147" s="41">
        <v>0</v>
      </c>
      <c r="AA147" s="44"/>
      <c r="AB147" s="44"/>
      <c r="AC147" s="5"/>
    </row>
    <row r="148" spans="1:29">
      <c r="A148" s="20" t="s">
        <v>607</v>
      </c>
      <c r="B148" s="9" t="s">
        <v>608</v>
      </c>
      <c r="C148" s="23">
        <v>21</v>
      </c>
      <c r="D148" s="26" t="s">
        <v>600</v>
      </c>
      <c r="E148" s="9" t="s">
        <v>609</v>
      </c>
      <c r="F148" s="9" t="s">
        <v>121</v>
      </c>
      <c r="G148" s="9" t="s">
        <v>58</v>
      </c>
      <c r="H148" s="9" t="s">
        <v>602</v>
      </c>
      <c r="I148" s="14" t="e">
        <f ca="1">_xludf.MINIFS(VARIAN_STOK!$H$2:$H$333,VARIAN_STOK!$D$2:$D$333,$A148)</f>
        <v>#NAME?</v>
      </c>
      <c r="J148" s="14" t="e">
        <f ca="1">_xludf.MAXIFS(VARIAN_STOK!$H$2:$H$333,VARIAN_STOK!$D$2:$D$333,$A148)</f>
        <v>#NAME?</v>
      </c>
      <c r="K148" s="17">
        <f>SUMIF(VARIAN_STOK!$D$2:$D$333,$A148,VARIAN_STOK!$I$2:$I$333)</f>
        <v>1</v>
      </c>
      <c r="L148" s="17">
        <f>COUNTIF(VARIAN_STOK!$D$2:$D$333,$A148)</f>
        <v>1</v>
      </c>
      <c r="M148" s="9"/>
      <c r="N148" s="9" t="s">
        <v>606</v>
      </c>
      <c r="O148" s="9"/>
      <c r="P148" s="9"/>
      <c r="Q148" s="9"/>
      <c r="R148" s="9"/>
      <c r="S148" s="9"/>
      <c r="T148" s="9"/>
      <c r="U148" s="9" t="s">
        <v>39</v>
      </c>
      <c r="V148" s="9" t="s">
        <v>39</v>
      </c>
      <c r="W148" s="9" t="s">
        <v>40</v>
      </c>
      <c r="X148" s="10"/>
      <c r="Y148" s="38" t="s">
        <v>39</v>
      </c>
      <c r="Z148" s="41">
        <v>0</v>
      </c>
      <c r="AA148" s="44"/>
      <c r="AB148" s="44"/>
      <c r="AC148" s="5"/>
    </row>
    <row r="149" spans="1:29">
      <c r="A149" s="20" t="s">
        <v>610</v>
      </c>
      <c r="B149" s="9" t="s">
        <v>611</v>
      </c>
      <c r="C149" s="23">
        <v>21</v>
      </c>
      <c r="D149" s="26" t="s">
        <v>600</v>
      </c>
      <c r="E149" s="9" t="s">
        <v>612</v>
      </c>
      <c r="F149" s="9" t="s">
        <v>121</v>
      </c>
      <c r="G149" s="9" t="s">
        <v>58</v>
      </c>
      <c r="H149" s="9" t="s">
        <v>602</v>
      </c>
      <c r="I149" s="14" t="e">
        <f ca="1">_xludf.MINIFS(VARIAN_STOK!$H$2:$H$333,VARIAN_STOK!$D$2:$D$333,$A149)</f>
        <v>#NAME?</v>
      </c>
      <c r="J149" s="14" t="e">
        <f ca="1">_xludf.MAXIFS(VARIAN_STOK!$H$2:$H$333,VARIAN_STOK!$D$2:$D$333,$A149)</f>
        <v>#NAME?</v>
      </c>
      <c r="K149" s="17">
        <f>SUMIF(VARIAN_STOK!$D$2:$D$333,$A149,VARIAN_STOK!$I$2:$I$333)</f>
        <v>1</v>
      </c>
      <c r="L149" s="17">
        <f>COUNTIF(VARIAN_STOK!$D$2:$D$333,$A149)</f>
        <v>1</v>
      </c>
      <c r="M149" s="9" t="s">
        <v>398</v>
      </c>
      <c r="N149" s="9" t="s">
        <v>606</v>
      </c>
      <c r="O149" s="9"/>
      <c r="P149" s="9"/>
      <c r="Q149" s="9"/>
      <c r="R149" s="9"/>
      <c r="S149" s="9"/>
      <c r="T149" s="9"/>
      <c r="U149" s="9" t="s">
        <v>39</v>
      </c>
      <c r="V149" s="9" t="s">
        <v>39</v>
      </c>
      <c r="W149" s="9" t="s">
        <v>40</v>
      </c>
      <c r="X149" s="10"/>
      <c r="Y149" s="38" t="s">
        <v>39</v>
      </c>
      <c r="Z149" s="41">
        <v>0</v>
      </c>
      <c r="AA149" s="44"/>
      <c r="AB149" s="44"/>
      <c r="AC149" s="5"/>
    </row>
    <row r="150" spans="1:29" ht="28">
      <c r="A150" s="20" t="s">
        <v>613</v>
      </c>
      <c r="B150" s="9" t="s">
        <v>614</v>
      </c>
      <c r="C150" s="23">
        <v>21</v>
      </c>
      <c r="D150" s="26" t="s">
        <v>600</v>
      </c>
      <c r="E150" s="9" t="s">
        <v>615</v>
      </c>
      <c r="F150" s="9" t="s">
        <v>121</v>
      </c>
      <c r="G150" s="9" t="s">
        <v>58</v>
      </c>
      <c r="H150" s="9" t="s">
        <v>602</v>
      </c>
      <c r="I150" s="14" t="e">
        <f ca="1">_xludf.MINIFS(VARIAN_STOK!$H$2:$H$333,VARIAN_STOK!$D$2:$D$333,$A150)</f>
        <v>#NAME?</v>
      </c>
      <c r="J150" s="14" t="e">
        <f ca="1">_xludf.MAXIFS(VARIAN_STOK!$H$2:$H$333,VARIAN_STOK!$D$2:$D$333,$A150)</f>
        <v>#NAME?</v>
      </c>
      <c r="K150" s="17">
        <f>SUMIF(VARIAN_STOK!$D$2:$D$333,$A150,VARIAN_STOK!$I$2:$I$333)</f>
        <v>1</v>
      </c>
      <c r="L150" s="17">
        <f>COUNTIF(VARIAN_STOK!$D$2:$D$333,$A150)</f>
        <v>1</v>
      </c>
      <c r="M150" s="9"/>
      <c r="N150" s="9"/>
      <c r="O150" s="9"/>
      <c r="P150" s="9"/>
      <c r="Q150" s="9"/>
      <c r="R150" s="9"/>
      <c r="S150" s="9"/>
      <c r="T150" s="9"/>
      <c r="U150" s="9" t="s">
        <v>39</v>
      </c>
      <c r="V150" s="9" t="s">
        <v>39</v>
      </c>
      <c r="W150" s="9" t="s">
        <v>40</v>
      </c>
      <c r="X150" s="10"/>
      <c r="Y150" s="38" t="s">
        <v>39</v>
      </c>
      <c r="Z150" s="41">
        <v>0</v>
      </c>
      <c r="AA150" s="44"/>
      <c r="AB150" s="44"/>
      <c r="AC150" s="5"/>
    </row>
    <row r="151" spans="1:29">
      <c r="A151" s="20" t="s">
        <v>616</v>
      </c>
      <c r="B151" s="9" t="s">
        <v>617</v>
      </c>
      <c r="C151" s="23">
        <v>21</v>
      </c>
      <c r="D151" s="26" t="s">
        <v>600</v>
      </c>
      <c r="E151" s="9" t="s">
        <v>198</v>
      </c>
      <c r="F151" s="9" t="s">
        <v>48</v>
      </c>
      <c r="G151" s="9" t="s">
        <v>34</v>
      </c>
      <c r="H151" s="9" t="s">
        <v>602</v>
      </c>
      <c r="I151" s="14" t="e">
        <f ca="1">_xludf.MINIFS(VARIAN_STOK!$H$2:$H$333,VARIAN_STOK!$D$2:$D$333,$A151)</f>
        <v>#NAME?</v>
      </c>
      <c r="J151" s="14" t="e">
        <f ca="1">_xludf.MAXIFS(VARIAN_STOK!$H$2:$H$333,VARIAN_STOK!$D$2:$D$333,$A151)</f>
        <v>#NAME?</v>
      </c>
      <c r="K151" s="17">
        <f>SUMIF(VARIAN_STOK!$D$2:$D$333,$A151,VARIAN_STOK!$I$2:$I$333)</f>
        <v>1</v>
      </c>
      <c r="L151" s="17">
        <f>COUNTIF(VARIAN_STOK!$D$2:$D$333,$A151)</f>
        <v>1</v>
      </c>
      <c r="M151" s="9"/>
      <c r="N151" s="9" t="s">
        <v>618</v>
      </c>
      <c r="O151" s="9"/>
      <c r="P151" s="9"/>
      <c r="Q151" s="9"/>
      <c r="R151" s="9"/>
      <c r="S151" s="9"/>
      <c r="T151" s="9"/>
      <c r="U151" s="9" t="s">
        <v>39</v>
      </c>
      <c r="V151" s="9" t="s">
        <v>39</v>
      </c>
      <c r="W151" s="9" t="s">
        <v>40</v>
      </c>
      <c r="X151" s="10"/>
      <c r="Y151" s="38" t="s">
        <v>39</v>
      </c>
      <c r="Z151" s="41">
        <v>0</v>
      </c>
      <c r="AA151" s="44"/>
      <c r="AB151" s="44"/>
      <c r="AC151" s="5"/>
    </row>
    <row r="152" spans="1:29">
      <c r="A152" s="20" t="s">
        <v>619</v>
      </c>
      <c r="B152" s="9" t="s">
        <v>620</v>
      </c>
      <c r="C152" s="23">
        <v>21</v>
      </c>
      <c r="D152" s="26" t="s">
        <v>600</v>
      </c>
      <c r="E152" s="9" t="s">
        <v>621</v>
      </c>
      <c r="F152" s="9" t="s">
        <v>48</v>
      </c>
      <c r="G152" s="9" t="s">
        <v>34</v>
      </c>
      <c r="H152" s="9" t="s">
        <v>602</v>
      </c>
      <c r="I152" s="14" t="e">
        <f ca="1">_xludf.MINIFS(VARIAN_STOK!$H$2:$H$333,VARIAN_STOK!$D$2:$D$333,$A152)</f>
        <v>#NAME?</v>
      </c>
      <c r="J152" s="14" t="e">
        <f ca="1">_xludf.MAXIFS(VARIAN_STOK!$H$2:$H$333,VARIAN_STOK!$D$2:$D$333,$A152)</f>
        <v>#NAME?</v>
      </c>
      <c r="K152" s="17">
        <f>SUMIF(VARIAN_STOK!$D$2:$D$333,$A152,VARIAN_STOK!$I$2:$I$333)</f>
        <v>1</v>
      </c>
      <c r="L152" s="17">
        <f>COUNTIF(VARIAN_STOK!$D$2:$D$333,$A152)</f>
        <v>1</v>
      </c>
      <c r="M152" s="9"/>
      <c r="N152" s="9" t="s">
        <v>382</v>
      </c>
      <c r="O152" s="9"/>
      <c r="P152" s="9"/>
      <c r="Q152" s="9"/>
      <c r="R152" s="9"/>
      <c r="S152" s="9"/>
      <c r="T152" s="9"/>
      <c r="U152" s="9" t="s">
        <v>39</v>
      </c>
      <c r="V152" s="9" t="s">
        <v>39</v>
      </c>
      <c r="W152" s="9" t="s">
        <v>40</v>
      </c>
      <c r="X152" s="10"/>
      <c r="Y152" s="38" t="s">
        <v>39</v>
      </c>
      <c r="Z152" s="41">
        <v>0</v>
      </c>
      <c r="AA152" s="44"/>
      <c r="AB152" s="44"/>
      <c r="AC152" s="5"/>
    </row>
    <row r="153" spans="1:29">
      <c r="A153" s="20" t="s">
        <v>622</v>
      </c>
      <c r="B153" s="9" t="s">
        <v>623</v>
      </c>
      <c r="C153" s="23">
        <v>21</v>
      </c>
      <c r="D153" s="26" t="s">
        <v>600</v>
      </c>
      <c r="E153" s="9" t="s">
        <v>624</v>
      </c>
      <c r="F153" s="9" t="s">
        <v>48</v>
      </c>
      <c r="G153" s="9" t="s">
        <v>58</v>
      </c>
      <c r="H153" s="9" t="s">
        <v>602</v>
      </c>
      <c r="I153" s="14" t="e">
        <f ca="1">_xludf.MINIFS(VARIAN_STOK!$H$2:$H$333,VARIAN_STOK!$D$2:$D$333,$A153)</f>
        <v>#NAME?</v>
      </c>
      <c r="J153" s="14" t="e">
        <f ca="1">_xludf.MAXIFS(VARIAN_STOK!$H$2:$H$333,VARIAN_STOK!$D$2:$D$333,$A153)</f>
        <v>#NAME?</v>
      </c>
      <c r="K153" s="17">
        <f>SUMIF(VARIAN_STOK!$D$2:$D$333,$A153,VARIAN_STOK!$I$2:$I$333)</f>
        <v>1</v>
      </c>
      <c r="L153" s="17">
        <f>COUNTIF(VARIAN_STOK!$D$2:$D$333,$A153)</f>
        <v>1</v>
      </c>
      <c r="M153" s="9"/>
      <c r="N153" s="9"/>
      <c r="O153" s="9"/>
      <c r="P153" s="9"/>
      <c r="Q153" s="9"/>
      <c r="R153" s="9"/>
      <c r="S153" s="9"/>
      <c r="T153" s="9"/>
      <c r="U153" s="9" t="s">
        <v>39</v>
      </c>
      <c r="V153" s="9" t="s">
        <v>39</v>
      </c>
      <c r="W153" s="9" t="s">
        <v>40</v>
      </c>
      <c r="X153" s="10"/>
      <c r="Y153" s="38" t="s">
        <v>39</v>
      </c>
      <c r="Z153" s="41">
        <v>0</v>
      </c>
      <c r="AA153" s="44"/>
      <c r="AB153" s="44"/>
      <c r="AC153" s="5"/>
    </row>
    <row r="154" spans="1:29">
      <c r="A154" s="20" t="s">
        <v>625</v>
      </c>
      <c r="B154" s="9" t="s">
        <v>626</v>
      </c>
      <c r="C154" s="23">
        <v>21</v>
      </c>
      <c r="D154" s="26" t="s">
        <v>600</v>
      </c>
      <c r="E154" s="9" t="s">
        <v>627</v>
      </c>
      <c r="F154" s="9" t="s">
        <v>628</v>
      </c>
      <c r="G154" s="9" t="s">
        <v>58</v>
      </c>
      <c r="H154" s="9" t="s">
        <v>602</v>
      </c>
      <c r="I154" s="14" t="e">
        <f ca="1">_xludf.MINIFS(VARIAN_STOK!$H$2:$H$333,VARIAN_STOK!$D$2:$D$333,$A154)</f>
        <v>#NAME?</v>
      </c>
      <c r="J154" s="14" t="e">
        <f ca="1">_xludf.MAXIFS(VARIAN_STOK!$H$2:$H$333,VARIAN_STOK!$D$2:$D$333,$A154)</f>
        <v>#NAME?</v>
      </c>
      <c r="K154" s="17">
        <f>SUMIF(VARIAN_STOK!$D$2:$D$333,$A154,VARIAN_STOK!$I$2:$I$333)</f>
        <v>1</v>
      </c>
      <c r="L154" s="17">
        <f>COUNTIF(VARIAN_STOK!$D$2:$D$333,$A154)</f>
        <v>1</v>
      </c>
      <c r="M154" s="9" t="s">
        <v>629</v>
      </c>
      <c r="N154" s="9"/>
      <c r="O154" s="9"/>
      <c r="P154" s="9"/>
      <c r="Q154" s="9"/>
      <c r="R154" s="9"/>
      <c r="S154" s="9"/>
      <c r="T154" s="9"/>
      <c r="U154" s="9" t="s">
        <v>39</v>
      </c>
      <c r="V154" s="9" t="s">
        <v>39</v>
      </c>
      <c r="W154" s="9" t="s">
        <v>40</v>
      </c>
      <c r="X154" s="10"/>
      <c r="Y154" s="38" t="s">
        <v>39</v>
      </c>
      <c r="Z154" s="41">
        <v>0</v>
      </c>
      <c r="AA154" s="44"/>
      <c r="AB154" s="44"/>
      <c r="AC154" s="5"/>
    </row>
    <row r="155" spans="1:29">
      <c r="A155" s="20" t="s">
        <v>630</v>
      </c>
      <c r="B155" s="9" t="s">
        <v>631</v>
      </c>
      <c r="C155" s="23">
        <v>21</v>
      </c>
      <c r="D155" s="26" t="s">
        <v>600</v>
      </c>
      <c r="E155" s="9" t="s">
        <v>632</v>
      </c>
      <c r="F155" s="9" t="s">
        <v>628</v>
      </c>
      <c r="G155" s="9" t="s">
        <v>34</v>
      </c>
      <c r="H155" s="9" t="s">
        <v>602</v>
      </c>
      <c r="I155" s="14" t="e">
        <f ca="1">_xludf.MINIFS(VARIAN_STOK!$H$2:$H$333,VARIAN_STOK!$D$2:$D$333,$A155)</f>
        <v>#NAME?</v>
      </c>
      <c r="J155" s="14" t="e">
        <f ca="1">_xludf.MAXIFS(VARIAN_STOK!$H$2:$H$333,VARIAN_STOK!$D$2:$D$333,$A155)</f>
        <v>#NAME?</v>
      </c>
      <c r="K155" s="17">
        <f>SUMIF(VARIAN_STOK!$D$2:$D$333,$A155,VARIAN_STOK!$I$2:$I$333)</f>
        <v>1</v>
      </c>
      <c r="L155" s="17">
        <f>COUNTIF(VARIAN_STOK!$D$2:$D$333,$A155)</f>
        <v>1</v>
      </c>
      <c r="M155" s="9" t="s">
        <v>372</v>
      </c>
      <c r="N155" s="9"/>
      <c r="O155" s="9"/>
      <c r="P155" s="9"/>
      <c r="Q155" s="9"/>
      <c r="R155" s="9"/>
      <c r="S155" s="9"/>
      <c r="T155" s="9"/>
      <c r="U155" s="9" t="s">
        <v>39</v>
      </c>
      <c r="V155" s="9" t="s">
        <v>39</v>
      </c>
      <c r="W155" s="9" t="s">
        <v>40</v>
      </c>
      <c r="X155" s="10"/>
      <c r="Y155" s="38" t="s">
        <v>39</v>
      </c>
      <c r="Z155" s="41">
        <v>0</v>
      </c>
      <c r="AA155" s="44"/>
      <c r="AB155" s="44"/>
      <c r="AC155" s="5"/>
    </row>
    <row r="156" spans="1:29">
      <c r="A156" s="20" t="s">
        <v>633</v>
      </c>
      <c r="B156" s="9" t="s">
        <v>634</v>
      </c>
      <c r="C156" s="23">
        <v>21</v>
      </c>
      <c r="D156" s="26" t="s">
        <v>600</v>
      </c>
      <c r="E156" s="9" t="s">
        <v>635</v>
      </c>
      <c r="F156" s="9" t="s">
        <v>628</v>
      </c>
      <c r="G156" s="9" t="s">
        <v>58</v>
      </c>
      <c r="H156" s="9" t="s">
        <v>602</v>
      </c>
      <c r="I156" s="14" t="e">
        <f ca="1">_xludf.MINIFS(VARIAN_STOK!$H$2:$H$333,VARIAN_STOK!$D$2:$D$333,$A156)</f>
        <v>#NAME?</v>
      </c>
      <c r="J156" s="14" t="e">
        <f ca="1">_xludf.MAXIFS(VARIAN_STOK!$H$2:$H$333,VARIAN_STOK!$D$2:$D$333,$A156)</f>
        <v>#NAME?</v>
      </c>
      <c r="K156" s="17">
        <f>SUMIF(VARIAN_STOK!$D$2:$D$333,$A156,VARIAN_STOK!$I$2:$I$333)</f>
        <v>1</v>
      </c>
      <c r="L156" s="17">
        <f>COUNTIF(VARIAN_STOK!$D$2:$D$333,$A156)</f>
        <v>1</v>
      </c>
      <c r="M156" s="9" t="s">
        <v>636</v>
      </c>
      <c r="N156" s="9"/>
      <c r="O156" s="9"/>
      <c r="P156" s="9"/>
      <c r="Q156" s="9"/>
      <c r="R156" s="9"/>
      <c r="S156" s="9"/>
      <c r="T156" s="9"/>
      <c r="U156" s="9" t="s">
        <v>39</v>
      </c>
      <c r="V156" s="9" t="s">
        <v>39</v>
      </c>
      <c r="W156" s="9" t="s">
        <v>40</v>
      </c>
      <c r="X156" s="10"/>
      <c r="Y156" s="38" t="s">
        <v>39</v>
      </c>
      <c r="Z156" s="41">
        <v>0</v>
      </c>
      <c r="AA156" s="44"/>
      <c r="AB156" s="44"/>
      <c r="AC156" s="5"/>
    </row>
    <row r="157" spans="1:29">
      <c r="A157" s="20" t="s">
        <v>637</v>
      </c>
      <c r="B157" s="9" t="s">
        <v>638</v>
      </c>
      <c r="C157" s="23">
        <v>21</v>
      </c>
      <c r="D157" s="26" t="s">
        <v>600</v>
      </c>
      <c r="E157" s="9" t="s">
        <v>639</v>
      </c>
      <c r="F157" s="9" t="s">
        <v>628</v>
      </c>
      <c r="G157" s="9" t="s">
        <v>58</v>
      </c>
      <c r="H157" s="9" t="s">
        <v>602</v>
      </c>
      <c r="I157" s="14" t="e">
        <f ca="1">_xludf.MINIFS(VARIAN_STOK!$H$2:$H$333,VARIAN_STOK!$D$2:$D$333,$A157)</f>
        <v>#NAME?</v>
      </c>
      <c r="J157" s="14" t="e">
        <f ca="1">_xludf.MAXIFS(VARIAN_STOK!$H$2:$H$333,VARIAN_STOK!$D$2:$D$333,$A157)</f>
        <v>#NAME?</v>
      </c>
      <c r="K157" s="17">
        <f>SUMIF(VARIAN_STOK!$D$2:$D$333,$A157,VARIAN_STOK!$I$2:$I$333)</f>
        <v>1</v>
      </c>
      <c r="L157" s="17">
        <f>COUNTIF(VARIAN_STOK!$D$2:$D$333,$A157)</f>
        <v>1</v>
      </c>
      <c r="M157" s="9" t="s">
        <v>499</v>
      </c>
      <c r="N157" s="9" t="s">
        <v>640</v>
      </c>
      <c r="O157" s="9"/>
      <c r="P157" s="9"/>
      <c r="Q157" s="9"/>
      <c r="R157" s="9"/>
      <c r="S157" s="9"/>
      <c r="T157" s="9"/>
      <c r="U157" s="9" t="s">
        <v>39</v>
      </c>
      <c r="V157" s="9" t="s">
        <v>39</v>
      </c>
      <c r="W157" s="9" t="s">
        <v>40</v>
      </c>
      <c r="X157" s="10"/>
      <c r="Y157" s="38" t="s">
        <v>39</v>
      </c>
      <c r="Z157" s="41">
        <v>0</v>
      </c>
      <c r="AA157" s="44"/>
      <c r="AB157" s="44"/>
      <c r="AC157" s="5"/>
    </row>
    <row r="158" spans="1:29" ht="28">
      <c r="A158" s="20" t="s">
        <v>641</v>
      </c>
      <c r="B158" s="9" t="s">
        <v>642</v>
      </c>
      <c r="C158" s="23">
        <v>21</v>
      </c>
      <c r="D158" s="26" t="s">
        <v>600</v>
      </c>
      <c r="E158" s="9" t="s">
        <v>643</v>
      </c>
      <c r="F158" s="9" t="s">
        <v>284</v>
      </c>
      <c r="G158" s="9" t="s">
        <v>58</v>
      </c>
      <c r="H158" s="9" t="s">
        <v>602</v>
      </c>
      <c r="I158" s="14" t="e">
        <f ca="1">_xludf.MINIFS(VARIAN_STOK!$H$2:$H$333,VARIAN_STOK!$D$2:$D$333,$A158)</f>
        <v>#NAME?</v>
      </c>
      <c r="J158" s="14" t="e">
        <f ca="1">_xludf.MAXIFS(VARIAN_STOK!$H$2:$H$333,VARIAN_STOK!$D$2:$D$333,$A158)</f>
        <v>#NAME?</v>
      </c>
      <c r="K158" s="17">
        <f>SUMIF(VARIAN_STOK!$D$2:$D$333,$A158,VARIAN_STOK!$I$2:$I$333)</f>
        <v>1</v>
      </c>
      <c r="L158" s="17">
        <f>COUNTIF(VARIAN_STOK!$D$2:$D$333,$A158)</f>
        <v>1</v>
      </c>
      <c r="M158" s="9"/>
      <c r="N158" s="9"/>
      <c r="O158" s="9"/>
      <c r="P158" s="9"/>
      <c r="Q158" s="9"/>
      <c r="R158" s="9"/>
      <c r="S158" s="9"/>
      <c r="T158" s="9"/>
      <c r="U158" s="9" t="s">
        <v>39</v>
      </c>
      <c r="V158" s="9" t="s">
        <v>39</v>
      </c>
      <c r="W158" s="9" t="s">
        <v>40</v>
      </c>
      <c r="X158" s="10"/>
      <c r="Y158" s="38" t="s">
        <v>39</v>
      </c>
      <c r="Z158" s="41">
        <v>0</v>
      </c>
      <c r="AA158" s="44"/>
      <c r="AB158" s="44"/>
      <c r="AC158" s="5"/>
    </row>
    <row r="159" spans="1:29" ht="28">
      <c r="A159" s="20" t="s">
        <v>644</v>
      </c>
      <c r="B159" s="9" t="s">
        <v>645</v>
      </c>
      <c r="C159" s="23">
        <v>21</v>
      </c>
      <c r="D159" s="26" t="s">
        <v>600</v>
      </c>
      <c r="E159" s="9" t="s">
        <v>646</v>
      </c>
      <c r="F159" s="9" t="s">
        <v>284</v>
      </c>
      <c r="G159" s="9" t="s">
        <v>58</v>
      </c>
      <c r="H159" s="9" t="s">
        <v>602</v>
      </c>
      <c r="I159" s="14" t="e">
        <f ca="1">_xludf.MINIFS(VARIAN_STOK!$H$2:$H$333,VARIAN_STOK!$D$2:$D$333,$A159)</f>
        <v>#NAME?</v>
      </c>
      <c r="J159" s="14" t="e">
        <f ca="1">_xludf.MAXIFS(VARIAN_STOK!$H$2:$H$333,VARIAN_STOK!$D$2:$D$333,$A159)</f>
        <v>#NAME?</v>
      </c>
      <c r="K159" s="17">
        <f>SUMIF(VARIAN_STOK!$D$2:$D$333,$A159,VARIAN_STOK!$I$2:$I$333)</f>
        <v>1</v>
      </c>
      <c r="L159" s="17">
        <f>COUNTIF(VARIAN_STOK!$D$2:$D$333,$A159)</f>
        <v>1</v>
      </c>
      <c r="M159" s="9"/>
      <c r="N159" s="9"/>
      <c r="O159" s="9"/>
      <c r="P159" s="9"/>
      <c r="Q159" s="9"/>
      <c r="R159" s="9"/>
      <c r="S159" s="9"/>
      <c r="T159" s="9"/>
      <c r="U159" s="9" t="s">
        <v>39</v>
      </c>
      <c r="V159" s="9" t="s">
        <v>39</v>
      </c>
      <c r="W159" s="9" t="s">
        <v>40</v>
      </c>
      <c r="X159" s="10"/>
      <c r="Y159" s="38" t="s">
        <v>39</v>
      </c>
      <c r="Z159" s="41">
        <v>0</v>
      </c>
      <c r="AA159" s="44"/>
      <c r="AB159" s="44"/>
      <c r="AC159" s="5"/>
    </row>
    <row r="160" spans="1:29">
      <c r="A160" s="20" t="s">
        <v>647</v>
      </c>
      <c r="B160" s="9" t="s">
        <v>648</v>
      </c>
      <c r="C160" s="23">
        <v>21</v>
      </c>
      <c r="D160" s="26" t="s">
        <v>600</v>
      </c>
      <c r="E160" s="9" t="s">
        <v>649</v>
      </c>
      <c r="F160" s="9" t="s">
        <v>322</v>
      </c>
      <c r="G160" s="9" t="s">
        <v>58</v>
      </c>
      <c r="H160" s="9" t="s">
        <v>602</v>
      </c>
      <c r="I160" s="14" t="e">
        <f ca="1">_xludf.MINIFS(VARIAN_STOK!$H$2:$H$333,VARIAN_STOK!$D$2:$D$333,$A160)</f>
        <v>#NAME?</v>
      </c>
      <c r="J160" s="14" t="e">
        <f ca="1">_xludf.MAXIFS(VARIAN_STOK!$H$2:$H$333,VARIAN_STOK!$D$2:$D$333,$A160)</f>
        <v>#NAME?</v>
      </c>
      <c r="K160" s="17">
        <f>SUMIF(VARIAN_STOK!$D$2:$D$333,$A160,VARIAN_STOK!$I$2:$I$333)</f>
        <v>1</v>
      </c>
      <c r="L160" s="17">
        <f>COUNTIF(VARIAN_STOK!$D$2:$D$333,$A160)</f>
        <v>1</v>
      </c>
      <c r="M160" s="9"/>
      <c r="N160" s="9" t="s">
        <v>382</v>
      </c>
      <c r="O160" s="9"/>
      <c r="P160" s="9"/>
      <c r="Q160" s="9"/>
      <c r="R160" s="9"/>
      <c r="S160" s="9"/>
      <c r="T160" s="9"/>
      <c r="U160" s="9" t="s">
        <v>39</v>
      </c>
      <c r="V160" s="9" t="s">
        <v>39</v>
      </c>
      <c r="W160" s="9" t="s">
        <v>40</v>
      </c>
      <c r="X160" s="10"/>
      <c r="Y160" s="38" t="s">
        <v>39</v>
      </c>
      <c r="Z160" s="41">
        <v>0</v>
      </c>
      <c r="AA160" s="44"/>
      <c r="AB160" s="44"/>
      <c r="AC160" s="5"/>
    </row>
    <row r="161" spans="1:29">
      <c r="A161" s="20" t="s">
        <v>650</v>
      </c>
      <c r="B161" s="9" t="s">
        <v>651</v>
      </c>
      <c r="C161" s="23">
        <v>22</v>
      </c>
      <c r="D161" s="26" t="s">
        <v>652</v>
      </c>
      <c r="E161" s="9" t="s">
        <v>653</v>
      </c>
      <c r="F161" s="9" t="s">
        <v>33</v>
      </c>
      <c r="G161" s="9" t="s">
        <v>34</v>
      </c>
      <c r="H161" s="9" t="s">
        <v>35</v>
      </c>
      <c r="I161" s="14" t="e">
        <f ca="1">_xludf.MINIFS(VARIAN_STOK!$H$2:$H$333,VARIAN_STOK!$D$2:$D$333,$A161)</f>
        <v>#NAME?</v>
      </c>
      <c r="J161" s="14" t="e">
        <f ca="1">_xludf.MAXIFS(VARIAN_STOK!$H$2:$H$333,VARIAN_STOK!$D$2:$D$333,$A161)</f>
        <v>#NAME?</v>
      </c>
      <c r="K161" s="17">
        <f>SUMIF(VARIAN_STOK!$D$2:$D$333,$A161,VARIAN_STOK!$I$2:$I$333)</f>
        <v>4</v>
      </c>
      <c r="L161" s="17">
        <f>COUNTIF(VARIAN_STOK!$D$2:$D$333,$A161)</f>
        <v>4</v>
      </c>
      <c r="M161" s="9" t="s">
        <v>654</v>
      </c>
      <c r="N161" s="9" t="s">
        <v>404</v>
      </c>
      <c r="O161" s="9"/>
      <c r="P161" s="9"/>
      <c r="Q161" s="9"/>
      <c r="R161" s="9"/>
      <c r="S161" s="9"/>
      <c r="T161" s="9"/>
      <c r="U161" s="9" t="s">
        <v>39</v>
      </c>
      <c r="V161" s="9" t="s">
        <v>39</v>
      </c>
      <c r="W161" s="9" t="s">
        <v>40</v>
      </c>
      <c r="X161" s="10"/>
      <c r="Y161" s="38" t="s">
        <v>39</v>
      </c>
      <c r="Z161" s="41">
        <v>0</v>
      </c>
      <c r="AA161" s="44"/>
      <c r="AB161" s="44"/>
      <c r="AC161" s="5"/>
    </row>
    <row r="162" spans="1:29">
      <c r="A162" s="20" t="s">
        <v>655</v>
      </c>
      <c r="B162" s="9" t="s">
        <v>656</v>
      </c>
      <c r="C162" s="23">
        <v>22</v>
      </c>
      <c r="D162" s="26" t="s">
        <v>652</v>
      </c>
      <c r="E162" s="9" t="s">
        <v>657</v>
      </c>
      <c r="F162" s="9" t="s">
        <v>239</v>
      </c>
      <c r="G162" s="9" t="s">
        <v>58</v>
      </c>
      <c r="H162" s="9" t="s">
        <v>35</v>
      </c>
      <c r="I162" s="14" t="e">
        <f ca="1">_xludf.MINIFS(VARIAN_STOK!$H$2:$H$333,VARIAN_STOK!$D$2:$D$333,$A162)</f>
        <v>#NAME?</v>
      </c>
      <c r="J162" s="14" t="e">
        <f ca="1">_xludf.MAXIFS(VARIAN_STOK!$H$2:$H$333,VARIAN_STOK!$D$2:$D$333,$A162)</f>
        <v>#NAME?</v>
      </c>
      <c r="K162" s="17">
        <f>SUMIF(VARIAN_STOK!$D$2:$D$333,$A162,VARIAN_STOK!$I$2:$I$333)</f>
        <v>1</v>
      </c>
      <c r="L162" s="17">
        <f>COUNTIF(VARIAN_STOK!$D$2:$D$333,$A162)</f>
        <v>1</v>
      </c>
      <c r="M162" s="9" t="s">
        <v>658</v>
      </c>
      <c r="N162" s="9"/>
      <c r="O162" s="9"/>
      <c r="P162" s="9"/>
      <c r="Q162" s="9"/>
      <c r="R162" s="9"/>
      <c r="S162" s="9"/>
      <c r="T162" s="9"/>
      <c r="U162" s="9" t="s">
        <v>39</v>
      </c>
      <c r="V162" s="9" t="s">
        <v>39</v>
      </c>
      <c r="W162" s="9" t="s">
        <v>40</v>
      </c>
      <c r="X162" s="10"/>
      <c r="Y162" s="38" t="s">
        <v>39</v>
      </c>
      <c r="Z162" s="41">
        <v>0</v>
      </c>
      <c r="AA162" s="44"/>
      <c r="AB162" s="44"/>
      <c r="AC162" s="5"/>
    </row>
    <row r="163" spans="1:29">
      <c r="A163" s="20" t="s">
        <v>659</v>
      </c>
      <c r="B163" s="9" t="s">
        <v>660</v>
      </c>
      <c r="C163" s="23">
        <v>22</v>
      </c>
      <c r="D163" s="26" t="s">
        <v>652</v>
      </c>
      <c r="E163" s="9" t="s">
        <v>661</v>
      </c>
      <c r="F163" s="9" t="s">
        <v>239</v>
      </c>
      <c r="G163" s="9" t="s">
        <v>58</v>
      </c>
      <c r="H163" s="9" t="s">
        <v>35</v>
      </c>
      <c r="I163" s="14" t="e">
        <f ca="1">_xludf.MINIFS(VARIAN_STOK!$H$2:$H$333,VARIAN_STOK!$D$2:$D$333,$A163)</f>
        <v>#NAME?</v>
      </c>
      <c r="J163" s="14" t="e">
        <f ca="1">_xludf.MAXIFS(VARIAN_STOK!$H$2:$H$333,VARIAN_STOK!$D$2:$D$333,$A163)</f>
        <v>#NAME?</v>
      </c>
      <c r="K163" s="17">
        <f>SUMIF(VARIAN_STOK!$D$2:$D$333,$A163,VARIAN_STOK!$I$2:$I$333)</f>
        <v>2</v>
      </c>
      <c r="L163" s="17">
        <f>COUNTIF(VARIAN_STOK!$D$2:$D$333,$A163)</f>
        <v>2</v>
      </c>
      <c r="M163" s="9" t="s">
        <v>662</v>
      </c>
      <c r="N163" s="9"/>
      <c r="O163" s="9"/>
      <c r="P163" s="9"/>
      <c r="Q163" s="9"/>
      <c r="R163" s="9"/>
      <c r="S163" s="9"/>
      <c r="T163" s="9"/>
      <c r="U163" s="9" t="s">
        <v>39</v>
      </c>
      <c r="V163" s="9" t="s">
        <v>39</v>
      </c>
      <c r="W163" s="9" t="s">
        <v>40</v>
      </c>
      <c r="X163" s="10"/>
      <c r="Y163" s="38" t="s">
        <v>39</v>
      </c>
      <c r="Z163" s="41">
        <v>0</v>
      </c>
      <c r="AA163" s="44"/>
      <c r="AB163" s="44"/>
      <c r="AC163" s="5"/>
    </row>
    <row r="164" spans="1:29">
      <c r="A164" s="20" t="s">
        <v>663</v>
      </c>
      <c r="B164" s="9" t="s">
        <v>664</v>
      </c>
      <c r="C164" s="23">
        <v>22</v>
      </c>
      <c r="D164" s="26" t="s">
        <v>652</v>
      </c>
      <c r="E164" s="9" t="s">
        <v>665</v>
      </c>
      <c r="F164" s="9" t="s">
        <v>133</v>
      </c>
      <c r="G164" s="9" t="s">
        <v>58</v>
      </c>
      <c r="H164" s="9" t="s">
        <v>35</v>
      </c>
      <c r="I164" s="14" t="e">
        <f ca="1">_xludf.MINIFS(VARIAN_STOK!$H$2:$H$333,VARIAN_STOK!$D$2:$D$333,$A164)</f>
        <v>#NAME?</v>
      </c>
      <c r="J164" s="14" t="e">
        <f ca="1">_xludf.MAXIFS(VARIAN_STOK!$H$2:$H$333,VARIAN_STOK!$D$2:$D$333,$A164)</f>
        <v>#NAME?</v>
      </c>
      <c r="K164" s="17">
        <f>SUMIF(VARIAN_STOK!$D$2:$D$333,$A164,VARIAN_STOK!$I$2:$I$333)</f>
        <v>2</v>
      </c>
      <c r="L164" s="17">
        <f>COUNTIF(VARIAN_STOK!$D$2:$D$333,$A164)</f>
        <v>2</v>
      </c>
      <c r="M164" s="9" t="s">
        <v>666</v>
      </c>
      <c r="N164" s="9"/>
      <c r="O164" s="9"/>
      <c r="P164" s="9"/>
      <c r="Q164" s="9"/>
      <c r="R164" s="9"/>
      <c r="S164" s="9"/>
      <c r="T164" s="9"/>
      <c r="U164" s="9" t="s">
        <v>39</v>
      </c>
      <c r="V164" s="9" t="s">
        <v>39</v>
      </c>
      <c r="W164" s="9" t="s">
        <v>40</v>
      </c>
      <c r="X164" s="10"/>
      <c r="Y164" s="38" t="s">
        <v>39</v>
      </c>
      <c r="Z164" s="41">
        <v>0</v>
      </c>
      <c r="AA164" s="44"/>
      <c r="AB164" s="44"/>
      <c r="AC164" s="5"/>
    </row>
    <row r="165" spans="1:29">
      <c r="A165" s="20" t="s">
        <v>667</v>
      </c>
      <c r="B165" s="9" t="s">
        <v>668</v>
      </c>
      <c r="C165" s="23">
        <v>22</v>
      </c>
      <c r="D165" s="26" t="s">
        <v>652</v>
      </c>
      <c r="E165" s="9" t="s">
        <v>669</v>
      </c>
      <c r="F165" s="9" t="s">
        <v>133</v>
      </c>
      <c r="G165" s="9" t="s">
        <v>58</v>
      </c>
      <c r="H165" s="9" t="s">
        <v>35</v>
      </c>
      <c r="I165" s="14" t="e">
        <f ca="1">_xludf.MINIFS(VARIAN_STOK!$H$2:$H$333,VARIAN_STOK!$D$2:$D$333,$A165)</f>
        <v>#NAME?</v>
      </c>
      <c r="J165" s="14" t="e">
        <f ca="1">_xludf.MAXIFS(VARIAN_STOK!$H$2:$H$333,VARIAN_STOK!$D$2:$D$333,$A165)</f>
        <v>#NAME?</v>
      </c>
      <c r="K165" s="17">
        <f>SUMIF(VARIAN_STOK!$D$2:$D$333,$A165,VARIAN_STOK!$I$2:$I$333)</f>
        <v>1</v>
      </c>
      <c r="L165" s="17">
        <f>COUNTIF(VARIAN_STOK!$D$2:$D$333,$A165)</f>
        <v>1</v>
      </c>
      <c r="M165" s="9" t="s">
        <v>670</v>
      </c>
      <c r="N165" s="9"/>
      <c r="O165" s="9"/>
      <c r="P165" s="9"/>
      <c r="Q165" s="9"/>
      <c r="R165" s="9"/>
      <c r="S165" s="9"/>
      <c r="T165" s="9"/>
      <c r="U165" s="9" t="s">
        <v>39</v>
      </c>
      <c r="V165" s="9" t="s">
        <v>39</v>
      </c>
      <c r="W165" s="9" t="s">
        <v>40</v>
      </c>
      <c r="X165" s="10"/>
      <c r="Y165" s="38" t="s">
        <v>39</v>
      </c>
      <c r="Z165" s="41">
        <v>0</v>
      </c>
      <c r="AA165" s="44"/>
      <c r="AB165" s="44"/>
      <c r="AC165" s="5"/>
    </row>
    <row r="166" spans="1:29">
      <c r="A166" s="20" t="s">
        <v>671</v>
      </c>
      <c r="B166" s="9" t="s">
        <v>672</v>
      </c>
      <c r="C166" s="23">
        <v>22</v>
      </c>
      <c r="D166" s="26" t="s">
        <v>652</v>
      </c>
      <c r="E166" s="9" t="s">
        <v>673</v>
      </c>
      <c r="F166" s="9" t="s">
        <v>48</v>
      </c>
      <c r="G166" s="9" t="s">
        <v>58</v>
      </c>
      <c r="H166" s="9" t="s">
        <v>35</v>
      </c>
      <c r="I166" s="14" t="e">
        <f ca="1">_xludf.MINIFS(VARIAN_STOK!$H$2:$H$333,VARIAN_STOK!$D$2:$D$333,$A166)</f>
        <v>#NAME?</v>
      </c>
      <c r="J166" s="14" t="e">
        <f ca="1">_xludf.MAXIFS(VARIAN_STOK!$H$2:$H$333,VARIAN_STOK!$D$2:$D$333,$A166)</f>
        <v>#NAME?</v>
      </c>
      <c r="K166" s="17">
        <f>SUMIF(VARIAN_STOK!$D$2:$D$333,$A166,VARIAN_STOK!$I$2:$I$333)</f>
        <v>3</v>
      </c>
      <c r="L166" s="17">
        <f>COUNTIF(VARIAN_STOK!$D$2:$D$333,$A166)</f>
        <v>3</v>
      </c>
      <c r="M166" s="9" t="s">
        <v>654</v>
      </c>
      <c r="N166" s="9" t="s">
        <v>674</v>
      </c>
      <c r="O166" s="9"/>
      <c r="P166" s="9"/>
      <c r="Q166" s="9"/>
      <c r="R166" s="9"/>
      <c r="S166" s="9"/>
      <c r="T166" s="9"/>
      <c r="U166" s="9" t="s">
        <v>39</v>
      </c>
      <c r="V166" s="9" t="s">
        <v>39</v>
      </c>
      <c r="W166" s="9" t="s">
        <v>40</v>
      </c>
      <c r="X166" s="10"/>
      <c r="Y166" s="38" t="s">
        <v>39</v>
      </c>
      <c r="Z166" s="41">
        <v>0</v>
      </c>
      <c r="AA166" s="44"/>
      <c r="AB166" s="44"/>
      <c r="AC166" s="5"/>
    </row>
    <row r="167" spans="1:29">
      <c r="A167" s="21" t="s">
        <v>675</v>
      </c>
      <c r="B167" s="11" t="s">
        <v>676</v>
      </c>
      <c r="C167" s="24">
        <v>22</v>
      </c>
      <c r="D167" s="27" t="s">
        <v>652</v>
      </c>
      <c r="E167" s="11" t="s">
        <v>677</v>
      </c>
      <c r="F167" s="11" t="s">
        <v>48</v>
      </c>
      <c r="G167" s="11" t="s">
        <v>34</v>
      </c>
      <c r="H167" s="11" t="s">
        <v>35</v>
      </c>
      <c r="I167" s="15" t="e">
        <f ca="1">_xludf.MINIFS(VARIAN_STOK!$H$2:$H$333,VARIAN_STOK!$D$2:$D$333,$A167)</f>
        <v>#NAME?</v>
      </c>
      <c r="J167" s="15" t="e">
        <f ca="1">_xludf.MAXIFS(VARIAN_STOK!$H$2:$H$333,VARIAN_STOK!$D$2:$D$333,$A167)</f>
        <v>#NAME?</v>
      </c>
      <c r="K167" s="18">
        <f>SUMIF(VARIAN_STOK!$D$2:$D$333,$A167,VARIAN_STOK!$I$2:$I$333)</f>
        <v>2</v>
      </c>
      <c r="L167" s="18">
        <f>COUNTIF(VARIAN_STOK!$D$2:$D$333,$A167)</f>
        <v>2</v>
      </c>
      <c r="M167" s="11" t="s">
        <v>654</v>
      </c>
      <c r="N167" s="11" t="s">
        <v>678</v>
      </c>
      <c r="O167" s="11"/>
      <c r="P167" s="11"/>
      <c r="Q167" s="11"/>
      <c r="R167" s="11"/>
      <c r="S167" s="11"/>
      <c r="T167" s="11"/>
      <c r="U167" s="11" t="s">
        <v>39</v>
      </c>
      <c r="V167" s="11" t="s">
        <v>39</v>
      </c>
      <c r="W167" s="11" t="s">
        <v>40</v>
      </c>
      <c r="X167" s="12"/>
      <c r="Y167" s="39" t="s">
        <v>39</v>
      </c>
      <c r="Z167" s="42">
        <v>0</v>
      </c>
      <c r="AA167" s="45"/>
      <c r="AB167" s="45"/>
      <c r="AC167" s="6"/>
    </row>
  </sheetData>
  <phoneticPr fontId="3" type="noConversion"/>
  <conditionalFormatting sqref="Y2:AC167">
    <cfRule type="expression" dxfId="3" priority="1">
      <formula>$Y2="Ya"</formula>
    </cfRule>
  </conditionalFormatting>
  <dataValidations count="6">
    <dataValidation type="list" sqref="F2:F167" xr:uid="{00000000-0002-0000-0000-000000000000}">
      <formula1>"Aksesoris,Bag,Blouse,Dress,Hijab,Outer,Pants,Set,Shirt,Shoes,Skirt,Sweater,Tunic,Vest"</formula1>
    </dataValidation>
    <dataValidation type="list" sqref="G2:G167" xr:uid="{00000000-0002-0000-0000-000001000000}">
      <formula1>"Dewasa,Anak,Campuran"</formula1>
    </dataValidation>
    <dataValidation type="list" sqref="H2:H167" xr:uid="{00000000-0002-0000-0000-000002000000}">
      <formula1>"Baru,Preloved"</formula1>
    </dataValidation>
    <dataValidation type="list" sqref="U2:V167 Y2:Y167" xr:uid="{00000000-0002-0000-0000-000003000000}">
      <formula1>"Ya,Tidak"</formula1>
    </dataValidation>
    <dataValidation type="list" sqref="W2:W167" xr:uid="{00000000-0002-0000-0000-000005000000}">
      <formula1>"Aktif,Nonaktif"</formula1>
    </dataValidation>
    <dataValidation sqref="Z2:Z167" xr:uid="{00000000-0002-0000-0000-000007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topLeftCell="A28" workbookViewId="0">
      <selection activeCell="E57" sqref="E57"/>
    </sheetView>
  </sheetViews>
  <sheetFormatPr defaultRowHeight="14"/>
  <cols>
    <col min="1" max="1" width="18" customWidth="1"/>
    <col min="2" max="2" width="12" customWidth="1"/>
    <col min="3" max="3" width="22" customWidth="1"/>
    <col min="4" max="4" width="13" customWidth="1"/>
    <col min="5" max="5" width="44" customWidth="1"/>
    <col min="6" max="6" width="24" customWidth="1"/>
    <col min="7" max="7" width="14" customWidth="1"/>
    <col min="8" max="8" width="16" customWidth="1"/>
    <col min="9" max="9" width="10" customWidth="1"/>
    <col min="10" max="10" width="16" customWidth="1"/>
    <col min="11" max="11" width="14" customWidth="1"/>
    <col min="12" max="12" width="16" customWidth="1"/>
    <col min="13" max="13" width="30" customWidth="1"/>
  </cols>
  <sheetData>
    <row r="1" spans="1:13" ht="25.4" customHeight="1">
      <c r="A1" s="1" t="s">
        <v>679</v>
      </c>
      <c r="B1" s="2" t="s">
        <v>2</v>
      </c>
      <c r="C1" s="2" t="s">
        <v>3</v>
      </c>
      <c r="D1" s="2" t="s">
        <v>0</v>
      </c>
      <c r="E1" s="2" t="s">
        <v>680</v>
      </c>
      <c r="F1" s="2" t="s">
        <v>681</v>
      </c>
      <c r="G1" s="2" t="s">
        <v>682</v>
      </c>
      <c r="H1" s="2" t="s">
        <v>683</v>
      </c>
      <c r="I1" s="2" t="s">
        <v>684</v>
      </c>
      <c r="J1" s="2" t="s">
        <v>685</v>
      </c>
      <c r="K1" s="2" t="s">
        <v>5</v>
      </c>
      <c r="L1" s="2" t="s">
        <v>22</v>
      </c>
      <c r="M1" s="3" t="s">
        <v>23</v>
      </c>
    </row>
    <row r="2" spans="1:13">
      <c r="A2" s="19" t="s">
        <v>686</v>
      </c>
      <c r="B2" s="22">
        <v>1</v>
      </c>
      <c r="C2" s="25" t="s">
        <v>31</v>
      </c>
      <c r="D2" s="7" t="s">
        <v>29</v>
      </c>
      <c r="E2" s="7" t="s">
        <v>687</v>
      </c>
      <c r="F2" s="7" t="s">
        <v>688</v>
      </c>
      <c r="G2" s="7" t="s">
        <v>177</v>
      </c>
      <c r="H2" s="13">
        <v>319000</v>
      </c>
      <c r="I2" s="16">
        <v>3</v>
      </c>
      <c r="J2" s="7" t="str">
        <f t="shared" ref="J2:J65" si="0">IF(I2&lt;=0,"Habis",IF(I2&lt;=2,"Stok Terbatas","Tersedia"))</f>
        <v>Tersedia</v>
      </c>
      <c r="K2" s="7" t="s">
        <v>33</v>
      </c>
      <c r="L2" s="7" t="s">
        <v>40</v>
      </c>
      <c r="M2" s="8"/>
    </row>
    <row r="3" spans="1:13">
      <c r="A3" s="20" t="s">
        <v>689</v>
      </c>
      <c r="B3" s="23">
        <v>1</v>
      </c>
      <c r="C3" s="26" t="s">
        <v>31</v>
      </c>
      <c r="D3" s="9" t="s">
        <v>29</v>
      </c>
      <c r="E3" s="9" t="s">
        <v>690</v>
      </c>
      <c r="F3" s="9" t="s">
        <v>688</v>
      </c>
      <c r="G3" s="9" t="s">
        <v>606</v>
      </c>
      <c r="H3" s="14">
        <v>319000</v>
      </c>
      <c r="I3" s="17">
        <v>2</v>
      </c>
      <c r="J3" s="9" t="str">
        <f t="shared" si="0"/>
        <v>Stok Terbatas</v>
      </c>
      <c r="K3" s="9" t="s">
        <v>33</v>
      </c>
      <c r="L3" s="9" t="s">
        <v>40</v>
      </c>
      <c r="M3" s="10"/>
    </row>
    <row r="4" spans="1:13">
      <c r="A4" s="20" t="s">
        <v>691</v>
      </c>
      <c r="B4" s="23">
        <v>1</v>
      </c>
      <c r="C4" s="26" t="s">
        <v>31</v>
      </c>
      <c r="D4" s="9" t="s">
        <v>29</v>
      </c>
      <c r="E4" s="9" t="s">
        <v>692</v>
      </c>
      <c r="F4" s="9" t="s">
        <v>688</v>
      </c>
      <c r="G4" s="9" t="s">
        <v>382</v>
      </c>
      <c r="H4" s="14">
        <v>319000</v>
      </c>
      <c r="I4" s="17">
        <v>3</v>
      </c>
      <c r="J4" s="9" t="str">
        <f t="shared" si="0"/>
        <v>Tersedia</v>
      </c>
      <c r="K4" s="9" t="s">
        <v>33</v>
      </c>
      <c r="L4" s="9" t="s">
        <v>40</v>
      </c>
      <c r="M4" s="10"/>
    </row>
    <row r="5" spans="1:13">
      <c r="A5" s="20" t="s">
        <v>693</v>
      </c>
      <c r="B5" s="23">
        <v>1</v>
      </c>
      <c r="C5" s="26" t="s">
        <v>31</v>
      </c>
      <c r="D5" s="9" t="s">
        <v>29</v>
      </c>
      <c r="E5" s="9" t="s">
        <v>694</v>
      </c>
      <c r="F5" s="9" t="s">
        <v>695</v>
      </c>
      <c r="G5" s="9" t="s">
        <v>177</v>
      </c>
      <c r="H5" s="14">
        <v>319000</v>
      </c>
      <c r="I5" s="17">
        <v>2</v>
      </c>
      <c r="J5" s="9" t="str">
        <f t="shared" si="0"/>
        <v>Stok Terbatas</v>
      </c>
      <c r="K5" s="9" t="s">
        <v>33</v>
      </c>
      <c r="L5" s="9" t="s">
        <v>40</v>
      </c>
      <c r="M5" s="10"/>
    </row>
    <row r="6" spans="1:13">
      <c r="A6" s="20" t="s">
        <v>696</v>
      </c>
      <c r="B6" s="23">
        <v>1</v>
      </c>
      <c r="C6" s="26" t="s">
        <v>31</v>
      </c>
      <c r="D6" s="9" t="s">
        <v>29</v>
      </c>
      <c r="E6" s="9" t="s">
        <v>697</v>
      </c>
      <c r="F6" s="9" t="s">
        <v>695</v>
      </c>
      <c r="G6" s="9" t="s">
        <v>606</v>
      </c>
      <c r="H6" s="14">
        <v>319000</v>
      </c>
      <c r="I6" s="17">
        <v>3</v>
      </c>
      <c r="J6" s="9" t="str">
        <f t="shared" si="0"/>
        <v>Tersedia</v>
      </c>
      <c r="K6" s="9" t="s">
        <v>33</v>
      </c>
      <c r="L6" s="9" t="s">
        <v>40</v>
      </c>
      <c r="M6" s="10"/>
    </row>
    <row r="7" spans="1:13">
      <c r="A7" s="20" t="s">
        <v>698</v>
      </c>
      <c r="B7" s="23">
        <v>1</v>
      </c>
      <c r="C7" s="26" t="s">
        <v>31</v>
      </c>
      <c r="D7" s="9" t="s">
        <v>29</v>
      </c>
      <c r="E7" s="9" t="s">
        <v>699</v>
      </c>
      <c r="F7" s="9" t="s">
        <v>700</v>
      </c>
      <c r="G7" s="9" t="s">
        <v>177</v>
      </c>
      <c r="H7" s="14">
        <v>319000</v>
      </c>
      <c r="I7" s="17">
        <v>1</v>
      </c>
      <c r="J7" s="9" t="str">
        <f t="shared" si="0"/>
        <v>Stok Terbatas</v>
      </c>
      <c r="K7" s="9" t="s">
        <v>33</v>
      </c>
      <c r="L7" s="9" t="s">
        <v>40</v>
      </c>
      <c r="M7" s="10"/>
    </row>
    <row r="8" spans="1:13">
      <c r="A8" s="20" t="s">
        <v>701</v>
      </c>
      <c r="B8" s="23">
        <v>1</v>
      </c>
      <c r="C8" s="26" t="s">
        <v>31</v>
      </c>
      <c r="D8" s="9" t="s">
        <v>29</v>
      </c>
      <c r="E8" s="9" t="s">
        <v>702</v>
      </c>
      <c r="F8" s="9" t="s">
        <v>700</v>
      </c>
      <c r="G8" s="9" t="s">
        <v>606</v>
      </c>
      <c r="H8" s="14">
        <v>319000</v>
      </c>
      <c r="I8" s="17">
        <v>3</v>
      </c>
      <c r="J8" s="9" t="str">
        <f t="shared" si="0"/>
        <v>Tersedia</v>
      </c>
      <c r="K8" s="9" t="s">
        <v>33</v>
      </c>
      <c r="L8" s="9" t="s">
        <v>40</v>
      </c>
      <c r="M8" s="10"/>
    </row>
    <row r="9" spans="1:13">
      <c r="A9" s="20" t="s">
        <v>703</v>
      </c>
      <c r="B9" s="23">
        <v>1</v>
      </c>
      <c r="C9" s="26" t="s">
        <v>31</v>
      </c>
      <c r="D9" s="9" t="s">
        <v>29</v>
      </c>
      <c r="E9" s="9" t="s">
        <v>704</v>
      </c>
      <c r="F9" s="9" t="s">
        <v>700</v>
      </c>
      <c r="G9" s="9" t="s">
        <v>382</v>
      </c>
      <c r="H9" s="14">
        <v>319000</v>
      </c>
      <c r="I9" s="17">
        <v>1</v>
      </c>
      <c r="J9" s="9" t="str">
        <f t="shared" si="0"/>
        <v>Stok Terbatas</v>
      </c>
      <c r="K9" s="9" t="s">
        <v>33</v>
      </c>
      <c r="L9" s="9" t="s">
        <v>40</v>
      </c>
      <c r="M9" s="10"/>
    </row>
    <row r="10" spans="1:13">
      <c r="A10" s="20" t="s">
        <v>705</v>
      </c>
      <c r="B10" s="23">
        <v>1</v>
      </c>
      <c r="C10" s="26" t="s">
        <v>31</v>
      </c>
      <c r="D10" s="9" t="s">
        <v>29</v>
      </c>
      <c r="E10" s="9" t="s">
        <v>706</v>
      </c>
      <c r="F10" s="9" t="s">
        <v>394</v>
      </c>
      <c r="G10" s="9" t="s">
        <v>177</v>
      </c>
      <c r="H10" s="14">
        <v>319000</v>
      </c>
      <c r="I10" s="17">
        <v>3</v>
      </c>
      <c r="J10" s="9" t="str">
        <f t="shared" si="0"/>
        <v>Tersedia</v>
      </c>
      <c r="K10" s="9" t="s">
        <v>33</v>
      </c>
      <c r="L10" s="9" t="s">
        <v>40</v>
      </c>
      <c r="M10" s="10"/>
    </row>
    <row r="11" spans="1:13">
      <c r="A11" s="20" t="s">
        <v>707</v>
      </c>
      <c r="B11" s="23">
        <v>1</v>
      </c>
      <c r="C11" s="26" t="s">
        <v>31</v>
      </c>
      <c r="D11" s="9" t="s">
        <v>29</v>
      </c>
      <c r="E11" s="9" t="s">
        <v>708</v>
      </c>
      <c r="F11" s="9" t="s">
        <v>394</v>
      </c>
      <c r="G11" s="9" t="s">
        <v>382</v>
      </c>
      <c r="H11" s="14">
        <v>319000</v>
      </c>
      <c r="I11" s="17">
        <v>2</v>
      </c>
      <c r="J11" s="9" t="str">
        <f t="shared" si="0"/>
        <v>Stok Terbatas</v>
      </c>
      <c r="K11" s="9" t="s">
        <v>33</v>
      </c>
      <c r="L11" s="9" t="s">
        <v>40</v>
      </c>
      <c r="M11" s="10"/>
    </row>
    <row r="12" spans="1:13">
      <c r="A12" s="20" t="s">
        <v>709</v>
      </c>
      <c r="B12" s="23">
        <v>1</v>
      </c>
      <c r="C12" s="26" t="s">
        <v>31</v>
      </c>
      <c r="D12" s="9" t="s">
        <v>29</v>
      </c>
      <c r="E12" s="9" t="s">
        <v>710</v>
      </c>
      <c r="F12" s="9" t="s">
        <v>711</v>
      </c>
      <c r="G12" s="9" t="s">
        <v>606</v>
      </c>
      <c r="H12" s="14">
        <v>319000</v>
      </c>
      <c r="I12" s="17">
        <v>2</v>
      </c>
      <c r="J12" s="9" t="str">
        <f t="shared" si="0"/>
        <v>Stok Terbatas</v>
      </c>
      <c r="K12" s="9" t="s">
        <v>33</v>
      </c>
      <c r="L12" s="9" t="s">
        <v>40</v>
      </c>
      <c r="M12" s="10"/>
    </row>
    <row r="13" spans="1:13">
      <c r="A13" s="20" t="s">
        <v>712</v>
      </c>
      <c r="B13" s="23">
        <v>1</v>
      </c>
      <c r="C13" s="26" t="s">
        <v>31</v>
      </c>
      <c r="D13" s="9" t="s">
        <v>45</v>
      </c>
      <c r="E13" s="9" t="s">
        <v>713</v>
      </c>
      <c r="F13" s="9" t="s">
        <v>688</v>
      </c>
      <c r="G13" s="9" t="s">
        <v>177</v>
      </c>
      <c r="H13" s="14">
        <v>299000</v>
      </c>
      <c r="I13" s="17">
        <v>2</v>
      </c>
      <c r="J13" s="9" t="str">
        <f t="shared" si="0"/>
        <v>Stok Terbatas</v>
      </c>
      <c r="K13" s="9" t="s">
        <v>48</v>
      </c>
      <c r="L13" s="9" t="s">
        <v>40</v>
      </c>
      <c r="M13" s="10"/>
    </row>
    <row r="14" spans="1:13">
      <c r="A14" s="20" t="s">
        <v>714</v>
      </c>
      <c r="B14" s="23">
        <v>1</v>
      </c>
      <c r="C14" s="26" t="s">
        <v>31</v>
      </c>
      <c r="D14" s="9" t="s">
        <v>45</v>
      </c>
      <c r="E14" s="9" t="s">
        <v>715</v>
      </c>
      <c r="F14" s="9" t="s">
        <v>688</v>
      </c>
      <c r="G14" s="9" t="s">
        <v>606</v>
      </c>
      <c r="H14" s="14">
        <v>299000</v>
      </c>
      <c r="I14" s="17">
        <v>2</v>
      </c>
      <c r="J14" s="9" t="str">
        <f t="shared" si="0"/>
        <v>Stok Terbatas</v>
      </c>
      <c r="K14" s="9" t="s">
        <v>48</v>
      </c>
      <c r="L14" s="9" t="s">
        <v>40</v>
      </c>
      <c r="M14" s="10"/>
    </row>
    <row r="15" spans="1:13">
      <c r="A15" s="20" t="s">
        <v>716</v>
      </c>
      <c r="B15" s="23">
        <v>1</v>
      </c>
      <c r="C15" s="26" t="s">
        <v>31</v>
      </c>
      <c r="D15" s="9" t="s">
        <v>45</v>
      </c>
      <c r="E15" s="9" t="s">
        <v>717</v>
      </c>
      <c r="F15" s="9" t="s">
        <v>688</v>
      </c>
      <c r="G15" s="9" t="s">
        <v>382</v>
      </c>
      <c r="H15" s="14">
        <v>299000</v>
      </c>
      <c r="I15" s="17">
        <v>3</v>
      </c>
      <c r="J15" s="9" t="str">
        <f t="shared" si="0"/>
        <v>Tersedia</v>
      </c>
      <c r="K15" s="9" t="s">
        <v>48</v>
      </c>
      <c r="L15" s="9" t="s">
        <v>40</v>
      </c>
      <c r="M15" s="10"/>
    </row>
    <row r="16" spans="1:13">
      <c r="A16" s="20" t="s">
        <v>718</v>
      </c>
      <c r="B16" s="23">
        <v>1</v>
      </c>
      <c r="C16" s="26" t="s">
        <v>31</v>
      </c>
      <c r="D16" s="9" t="s">
        <v>45</v>
      </c>
      <c r="E16" s="9" t="s">
        <v>719</v>
      </c>
      <c r="F16" s="9" t="s">
        <v>695</v>
      </c>
      <c r="G16" s="9" t="s">
        <v>177</v>
      </c>
      <c r="H16" s="14">
        <v>299000</v>
      </c>
      <c r="I16" s="17">
        <v>3</v>
      </c>
      <c r="J16" s="9" t="str">
        <f t="shared" si="0"/>
        <v>Tersedia</v>
      </c>
      <c r="K16" s="9" t="s">
        <v>48</v>
      </c>
      <c r="L16" s="9" t="s">
        <v>40</v>
      </c>
      <c r="M16" s="10"/>
    </row>
    <row r="17" spans="1:13">
      <c r="A17" s="20" t="s">
        <v>720</v>
      </c>
      <c r="B17" s="23">
        <v>1</v>
      </c>
      <c r="C17" s="26" t="s">
        <v>31</v>
      </c>
      <c r="D17" s="9" t="s">
        <v>45</v>
      </c>
      <c r="E17" s="9" t="s">
        <v>721</v>
      </c>
      <c r="F17" s="9" t="s">
        <v>695</v>
      </c>
      <c r="G17" s="9" t="s">
        <v>606</v>
      </c>
      <c r="H17" s="14">
        <v>299000</v>
      </c>
      <c r="I17" s="17">
        <v>3</v>
      </c>
      <c r="J17" s="9" t="str">
        <f t="shared" si="0"/>
        <v>Tersedia</v>
      </c>
      <c r="K17" s="9" t="s">
        <v>48</v>
      </c>
      <c r="L17" s="9" t="s">
        <v>40</v>
      </c>
      <c r="M17" s="10"/>
    </row>
    <row r="18" spans="1:13">
      <c r="A18" s="20" t="s">
        <v>722</v>
      </c>
      <c r="B18" s="23">
        <v>1</v>
      </c>
      <c r="C18" s="26" t="s">
        <v>31</v>
      </c>
      <c r="D18" s="9" t="s">
        <v>45</v>
      </c>
      <c r="E18" s="9" t="s">
        <v>723</v>
      </c>
      <c r="F18" s="9" t="s">
        <v>695</v>
      </c>
      <c r="G18" s="9" t="s">
        <v>382</v>
      </c>
      <c r="H18" s="14">
        <v>299000</v>
      </c>
      <c r="I18" s="17">
        <v>3</v>
      </c>
      <c r="J18" s="9" t="str">
        <f t="shared" si="0"/>
        <v>Tersedia</v>
      </c>
      <c r="K18" s="9" t="s">
        <v>48</v>
      </c>
      <c r="L18" s="9" t="s">
        <v>40</v>
      </c>
      <c r="M18" s="10"/>
    </row>
    <row r="19" spans="1:13">
      <c r="A19" s="20" t="s">
        <v>724</v>
      </c>
      <c r="B19" s="23">
        <v>1</v>
      </c>
      <c r="C19" s="26" t="s">
        <v>31</v>
      </c>
      <c r="D19" s="9" t="s">
        <v>45</v>
      </c>
      <c r="E19" s="9" t="s">
        <v>725</v>
      </c>
      <c r="F19" s="9" t="s">
        <v>700</v>
      </c>
      <c r="G19" s="9" t="s">
        <v>177</v>
      </c>
      <c r="H19" s="14">
        <v>299000</v>
      </c>
      <c r="I19" s="17">
        <v>3</v>
      </c>
      <c r="J19" s="9" t="str">
        <f t="shared" si="0"/>
        <v>Tersedia</v>
      </c>
      <c r="K19" s="9" t="s">
        <v>48</v>
      </c>
      <c r="L19" s="9" t="s">
        <v>40</v>
      </c>
      <c r="M19" s="10"/>
    </row>
    <row r="20" spans="1:13">
      <c r="A20" s="20" t="s">
        <v>726</v>
      </c>
      <c r="B20" s="23">
        <v>1</v>
      </c>
      <c r="C20" s="26" t="s">
        <v>31</v>
      </c>
      <c r="D20" s="9" t="s">
        <v>45</v>
      </c>
      <c r="E20" s="9" t="s">
        <v>727</v>
      </c>
      <c r="F20" s="9" t="s">
        <v>700</v>
      </c>
      <c r="G20" s="9" t="s">
        <v>606</v>
      </c>
      <c r="H20" s="14">
        <v>299000</v>
      </c>
      <c r="I20" s="17">
        <v>2</v>
      </c>
      <c r="J20" s="9" t="str">
        <f t="shared" si="0"/>
        <v>Stok Terbatas</v>
      </c>
      <c r="K20" s="9" t="s">
        <v>48</v>
      </c>
      <c r="L20" s="9" t="s">
        <v>40</v>
      </c>
      <c r="M20" s="10"/>
    </row>
    <row r="21" spans="1:13">
      <c r="A21" s="20" t="s">
        <v>728</v>
      </c>
      <c r="B21" s="23">
        <v>1</v>
      </c>
      <c r="C21" s="26" t="s">
        <v>31</v>
      </c>
      <c r="D21" s="9" t="s">
        <v>45</v>
      </c>
      <c r="E21" s="9" t="s">
        <v>729</v>
      </c>
      <c r="F21" s="9" t="s">
        <v>700</v>
      </c>
      <c r="G21" s="9" t="s">
        <v>382</v>
      </c>
      <c r="H21" s="14">
        <v>299000</v>
      </c>
      <c r="I21" s="17">
        <v>3</v>
      </c>
      <c r="J21" s="9" t="str">
        <f t="shared" si="0"/>
        <v>Tersedia</v>
      </c>
      <c r="K21" s="9" t="s">
        <v>48</v>
      </c>
      <c r="L21" s="9" t="s">
        <v>40</v>
      </c>
      <c r="M21" s="10"/>
    </row>
    <row r="22" spans="1:13">
      <c r="A22" s="20" t="s">
        <v>730</v>
      </c>
      <c r="B22" s="23">
        <v>1</v>
      </c>
      <c r="C22" s="26" t="s">
        <v>31</v>
      </c>
      <c r="D22" s="9" t="s">
        <v>45</v>
      </c>
      <c r="E22" s="9" t="s">
        <v>731</v>
      </c>
      <c r="F22" s="9" t="s">
        <v>394</v>
      </c>
      <c r="G22" s="9" t="s">
        <v>177</v>
      </c>
      <c r="H22" s="14">
        <v>299000</v>
      </c>
      <c r="I22" s="17">
        <v>3</v>
      </c>
      <c r="J22" s="9" t="str">
        <f t="shared" si="0"/>
        <v>Tersedia</v>
      </c>
      <c r="K22" s="9" t="s">
        <v>48</v>
      </c>
      <c r="L22" s="9" t="s">
        <v>40</v>
      </c>
      <c r="M22" s="10"/>
    </row>
    <row r="23" spans="1:13">
      <c r="A23" s="20" t="s">
        <v>732</v>
      </c>
      <c r="B23" s="23">
        <v>1</v>
      </c>
      <c r="C23" s="26" t="s">
        <v>31</v>
      </c>
      <c r="D23" s="9" t="s">
        <v>45</v>
      </c>
      <c r="E23" s="9" t="s">
        <v>733</v>
      </c>
      <c r="F23" s="9" t="s">
        <v>394</v>
      </c>
      <c r="G23" s="9" t="s">
        <v>606</v>
      </c>
      <c r="H23" s="14">
        <v>299000</v>
      </c>
      <c r="I23" s="17">
        <v>3</v>
      </c>
      <c r="J23" s="9" t="str">
        <f t="shared" si="0"/>
        <v>Tersedia</v>
      </c>
      <c r="K23" s="9" t="s">
        <v>48</v>
      </c>
      <c r="L23" s="9" t="s">
        <v>40</v>
      </c>
      <c r="M23" s="10"/>
    </row>
    <row r="24" spans="1:13">
      <c r="A24" s="20" t="s">
        <v>734</v>
      </c>
      <c r="B24" s="23">
        <v>1</v>
      </c>
      <c r="C24" s="26" t="s">
        <v>31</v>
      </c>
      <c r="D24" s="9" t="s">
        <v>45</v>
      </c>
      <c r="E24" s="9" t="s">
        <v>735</v>
      </c>
      <c r="F24" s="9" t="s">
        <v>394</v>
      </c>
      <c r="G24" s="9" t="s">
        <v>382</v>
      </c>
      <c r="H24" s="14">
        <v>299000</v>
      </c>
      <c r="I24" s="17">
        <v>2</v>
      </c>
      <c r="J24" s="9" t="str">
        <f t="shared" si="0"/>
        <v>Stok Terbatas</v>
      </c>
      <c r="K24" s="9" t="s">
        <v>48</v>
      </c>
      <c r="L24" s="9" t="s">
        <v>40</v>
      </c>
      <c r="M24" s="10"/>
    </row>
    <row r="25" spans="1:13">
      <c r="A25" s="20" t="s">
        <v>736</v>
      </c>
      <c r="B25" s="23">
        <v>1</v>
      </c>
      <c r="C25" s="26" t="s">
        <v>31</v>
      </c>
      <c r="D25" s="9" t="s">
        <v>45</v>
      </c>
      <c r="E25" s="9" t="s">
        <v>737</v>
      </c>
      <c r="F25" s="9" t="s">
        <v>711</v>
      </c>
      <c r="G25" s="9" t="s">
        <v>177</v>
      </c>
      <c r="H25" s="14">
        <v>299000</v>
      </c>
      <c r="I25" s="17">
        <v>1</v>
      </c>
      <c r="J25" s="9" t="str">
        <f t="shared" si="0"/>
        <v>Stok Terbatas</v>
      </c>
      <c r="K25" s="9" t="s">
        <v>48</v>
      </c>
      <c r="L25" s="9" t="s">
        <v>40</v>
      </c>
      <c r="M25" s="10"/>
    </row>
    <row r="26" spans="1:13">
      <c r="A26" s="20" t="s">
        <v>738</v>
      </c>
      <c r="B26" s="23">
        <v>1</v>
      </c>
      <c r="C26" s="26" t="s">
        <v>31</v>
      </c>
      <c r="D26" s="9" t="s">
        <v>45</v>
      </c>
      <c r="E26" s="9" t="s">
        <v>739</v>
      </c>
      <c r="F26" s="9" t="s">
        <v>711</v>
      </c>
      <c r="G26" s="9" t="s">
        <v>606</v>
      </c>
      <c r="H26" s="14">
        <v>299000</v>
      </c>
      <c r="I26" s="17">
        <v>3</v>
      </c>
      <c r="J26" s="9" t="str">
        <f t="shared" si="0"/>
        <v>Tersedia</v>
      </c>
      <c r="K26" s="9" t="s">
        <v>48</v>
      </c>
      <c r="L26" s="9" t="s">
        <v>40</v>
      </c>
      <c r="M26" s="10"/>
    </row>
    <row r="27" spans="1:13">
      <c r="A27" s="20" t="s">
        <v>740</v>
      </c>
      <c r="B27" s="23">
        <v>1</v>
      </c>
      <c r="C27" s="26" t="s">
        <v>31</v>
      </c>
      <c r="D27" s="9" t="s">
        <v>45</v>
      </c>
      <c r="E27" s="9" t="s">
        <v>741</v>
      </c>
      <c r="F27" s="9" t="s">
        <v>711</v>
      </c>
      <c r="G27" s="9" t="s">
        <v>382</v>
      </c>
      <c r="H27" s="14">
        <v>299000</v>
      </c>
      <c r="I27" s="17">
        <v>3</v>
      </c>
      <c r="J27" s="9" t="str">
        <f t="shared" si="0"/>
        <v>Tersedia</v>
      </c>
      <c r="K27" s="9" t="s">
        <v>48</v>
      </c>
      <c r="L27" s="9" t="s">
        <v>40</v>
      </c>
      <c r="M27" s="10"/>
    </row>
    <row r="28" spans="1:13">
      <c r="A28" s="20" t="s">
        <v>742</v>
      </c>
      <c r="B28" s="23">
        <v>1</v>
      </c>
      <c r="C28" s="26" t="s">
        <v>31</v>
      </c>
      <c r="D28" s="9" t="s">
        <v>41</v>
      </c>
      <c r="E28" s="9" t="s">
        <v>743</v>
      </c>
      <c r="F28" s="9" t="s">
        <v>744</v>
      </c>
      <c r="G28" s="9" t="s">
        <v>606</v>
      </c>
      <c r="H28" s="14">
        <v>329000</v>
      </c>
      <c r="I28" s="17">
        <v>2</v>
      </c>
      <c r="J28" s="9" t="str">
        <f t="shared" si="0"/>
        <v>Stok Terbatas</v>
      </c>
      <c r="K28" s="9" t="s">
        <v>33</v>
      </c>
      <c r="L28" s="9" t="s">
        <v>40</v>
      </c>
      <c r="M28" s="10"/>
    </row>
    <row r="29" spans="1:13">
      <c r="A29" s="20" t="s">
        <v>745</v>
      </c>
      <c r="B29" s="23">
        <v>1</v>
      </c>
      <c r="C29" s="26" t="s">
        <v>31</v>
      </c>
      <c r="D29" s="9" t="s">
        <v>41</v>
      </c>
      <c r="E29" s="9" t="s">
        <v>746</v>
      </c>
      <c r="F29" s="9" t="s">
        <v>747</v>
      </c>
      <c r="G29" s="9" t="s">
        <v>177</v>
      </c>
      <c r="H29" s="14">
        <v>329000</v>
      </c>
      <c r="I29" s="17">
        <v>2</v>
      </c>
      <c r="J29" s="9" t="str">
        <f t="shared" si="0"/>
        <v>Stok Terbatas</v>
      </c>
      <c r="K29" s="9" t="s">
        <v>33</v>
      </c>
      <c r="L29" s="9" t="s">
        <v>40</v>
      </c>
      <c r="M29" s="10"/>
    </row>
    <row r="30" spans="1:13">
      <c r="A30" s="20" t="s">
        <v>748</v>
      </c>
      <c r="B30" s="23">
        <v>1</v>
      </c>
      <c r="C30" s="26" t="s">
        <v>31</v>
      </c>
      <c r="D30" s="9" t="s">
        <v>41</v>
      </c>
      <c r="E30" s="9" t="s">
        <v>749</v>
      </c>
      <c r="F30" s="9" t="s">
        <v>747</v>
      </c>
      <c r="G30" s="9" t="s">
        <v>606</v>
      </c>
      <c r="H30" s="14">
        <v>329000</v>
      </c>
      <c r="I30" s="17">
        <v>3</v>
      </c>
      <c r="J30" s="9" t="str">
        <f t="shared" si="0"/>
        <v>Tersedia</v>
      </c>
      <c r="K30" s="9" t="s">
        <v>33</v>
      </c>
      <c r="L30" s="9" t="s">
        <v>40</v>
      </c>
      <c r="M30" s="10"/>
    </row>
    <row r="31" spans="1:13">
      <c r="A31" s="20" t="s">
        <v>750</v>
      </c>
      <c r="B31" s="23">
        <v>1</v>
      </c>
      <c r="C31" s="26" t="s">
        <v>31</v>
      </c>
      <c r="D31" s="9" t="s">
        <v>41</v>
      </c>
      <c r="E31" s="9" t="s">
        <v>751</v>
      </c>
      <c r="F31" s="9" t="s">
        <v>752</v>
      </c>
      <c r="G31" s="9" t="s">
        <v>177</v>
      </c>
      <c r="H31" s="14">
        <v>329000</v>
      </c>
      <c r="I31" s="17">
        <v>4</v>
      </c>
      <c r="J31" s="9" t="str">
        <f t="shared" si="0"/>
        <v>Tersedia</v>
      </c>
      <c r="K31" s="9" t="s">
        <v>33</v>
      </c>
      <c r="L31" s="9" t="s">
        <v>40</v>
      </c>
      <c r="M31" s="10"/>
    </row>
    <row r="32" spans="1:13">
      <c r="A32" s="20" t="s">
        <v>753</v>
      </c>
      <c r="B32" s="23">
        <v>1</v>
      </c>
      <c r="C32" s="26" t="s">
        <v>31</v>
      </c>
      <c r="D32" s="9" t="s">
        <v>41</v>
      </c>
      <c r="E32" s="9" t="s">
        <v>754</v>
      </c>
      <c r="F32" s="9" t="s">
        <v>752</v>
      </c>
      <c r="G32" s="9" t="s">
        <v>606</v>
      </c>
      <c r="H32" s="14">
        <v>329000</v>
      </c>
      <c r="I32" s="17">
        <v>2</v>
      </c>
      <c r="J32" s="9" t="str">
        <f t="shared" si="0"/>
        <v>Stok Terbatas</v>
      </c>
      <c r="K32" s="9" t="s">
        <v>33</v>
      </c>
      <c r="L32" s="9" t="s">
        <v>40</v>
      </c>
      <c r="M32" s="10"/>
    </row>
    <row r="33" spans="1:13">
      <c r="A33" s="20" t="s">
        <v>755</v>
      </c>
      <c r="B33" s="23">
        <v>1</v>
      </c>
      <c r="C33" s="26" t="s">
        <v>31</v>
      </c>
      <c r="D33" s="9" t="s">
        <v>41</v>
      </c>
      <c r="E33" s="9" t="s">
        <v>756</v>
      </c>
      <c r="F33" s="9" t="s">
        <v>752</v>
      </c>
      <c r="G33" s="9" t="s">
        <v>382</v>
      </c>
      <c r="H33" s="14">
        <v>329000</v>
      </c>
      <c r="I33" s="17">
        <v>3</v>
      </c>
      <c r="J33" s="9" t="str">
        <f t="shared" si="0"/>
        <v>Tersedia</v>
      </c>
      <c r="K33" s="9" t="s">
        <v>33</v>
      </c>
      <c r="L33" s="9" t="s">
        <v>40</v>
      </c>
      <c r="M33" s="10"/>
    </row>
    <row r="34" spans="1:13">
      <c r="A34" s="20" t="s">
        <v>757</v>
      </c>
      <c r="B34" s="23">
        <v>1</v>
      </c>
      <c r="C34" s="26" t="s">
        <v>31</v>
      </c>
      <c r="D34" s="9" t="s">
        <v>49</v>
      </c>
      <c r="E34" s="9" t="s">
        <v>758</v>
      </c>
      <c r="F34" s="9" t="s">
        <v>744</v>
      </c>
      <c r="G34" s="9" t="s">
        <v>177</v>
      </c>
      <c r="H34" s="14">
        <v>329000</v>
      </c>
      <c r="I34" s="17">
        <v>2</v>
      </c>
      <c r="J34" s="9" t="str">
        <f t="shared" si="0"/>
        <v>Stok Terbatas</v>
      </c>
      <c r="K34" s="9" t="s">
        <v>48</v>
      </c>
      <c r="L34" s="9" t="s">
        <v>40</v>
      </c>
      <c r="M34" s="10"/>
    </row>
    <row r="35" spans="1:13">
      <c r="A35" s="20" t="s">
        <v>759</v>
      </c>
      <c r="B35" s="23">
        <v>1</v>
      </c>
      <c r="C35" s="26" t="s">
        <v>31</v>
      </c>
      <c r="D35" s="9" t="s">
        <v>49</v>
      </c>
      <c r="E35" s="9" t="s">
        <v>760</v>
      </c>
      <c r="F35" s="9" t="s">
        <v>744</v>
      </c>
      <c r="G35" s="9" t="s">
        <v>606</v>
      </c>
      <c r="H35" s="14">
        <v>329000</v>
      </c>
      <c r="I35" s="17">
        <v>2</v>
      </c>
      <c r="J35" s="9" t="str">
        <f t="shared" si="0"/>
        <v>Stok Terbatas</v>
      </c>
      <c r="K35" s="9" t="s">
        <v>48</v>
      </c>
      <c r="L35" s="9" t="s">
        <v>40</v>
      </c>
      <c r="M35" s="10"/>
    </row>
    <row r="36" spans="1:13">
      <c r="A36" s="20" t="s">
        <v>761</v>
      </c>
      <c r="B36" s="23">
        <v>1</v>
      </c>
      <c r="C36" s="26" t="s">
        <v>31</v>
      </c>
      <c r="D36" s="9" t="s">
        <v>49</v>
      </c>
      <c r="E36" s="9" t="s">
        <v>762</v>
      </c>
      <c r="F36" s="9" t="s">
        <v>744</v>
      </c>
      <c r="G36" s="9" t="s">
        <v>382</v>
      </c>
      <c r="H36" s="14">
        <v>329000</v>
      </c>
      <c r="I36" s="17">
        <v>2</v>
      </c>
      <c r="J36" s="9" t="str">
        <f t="shared" si="0"/>
        <v>Stok Terbatas</v>
      </c>
      <c r="K36" s="9" t="s">
        <v>48</v>
      </c>
      <c r="L36" s="9" t="s">
        <v>40</v>
      </c>
      <c r="M36" s="10"/>
    </row>
    <row r="37" spans="1:13">
      <c r="A37" s="20" t="s">
        <v>763</v>
      </c>
      <c r="B37" s="23">
        <v>1</v>
      </c>
      <c r="C37" s="26" t="s">
        <v>31</v>
      </c>
      <c r="D37" s="9" t="s">
        <v>49</v>
      </c>
      <c r="E37" s="9" t="s">
        <v>764</v>
      </c>
      <c r="F37" s="9" t="s">
        <v>747</v>
      </c>
      <c r="G37" s="9" t="s">
        <v>177</v>
      </c>
      <c r="H37" s="14">
        <v>329000</v>
      </c>
      <c r="I37" s="17">
        <v>1</v>
      </c>
      <c r="J37" s="9" t="str">
        <f t="shared" si="0"/>
        <v>Stok Terbatas</v>
      </c>
      <c r="K37" s="9" t="s">
        <v>48</v>
      </c>
      <c r="L37" s="9" t="s">
        <v>40</v>
      </c>
      <c r="M37" s="10"/>
    </row>
    <row r="38" spans="1:13">
      <c r="A38" s="20" t="s">
        <v>765</v>
      </c>
      <c r="B38" s="23">
        <v>1</v>
      </c>
      <c r="C38" s="26" t="s">
        <v>31</v>
      </c>
      <c r="D38" s="9" t="s">
        <v>49</v>
      </c>
      <c r="E38" s="9" t="s">
        <v>766</v>
      </c>
      <c r="F38" s="9" t="s">
        <v>747</v>
      </c>
      <c r="G38" s="9" t="s">
        <v>606</v>
      </c>
      <c r="H38" s="14">
        <v>329000</v>
      </c>
      <c r="I38" s="17">
        <v>3</v>
      </c>
      <c r="J38" s="9" t="str">
        <f t="shared" si="0"/>
        <v>Tersedia</v>
      </c>
      <c r="K38" s="9" t="s">
        <v>48</v>
      </c>
      <c r="L38" s="9" t="s">
        <v>40</v>
      </c>
      <c r="M38" s="10"/>
    </row>
    <row r="39" spans="1:13">
      <c r="A39" s="20" t="s">
        <v>767</v>
      </c>
      <c r="B39" s="23">
        <v>2</v>
      </c>
      <c r="C39" s="26" t="s">
        <v>55</v>
      </c>
      <c r="D39" s="9" t="s">
        <v>64</v>
      </c>
      <c r="E39" s="9" t="s">
        <v>768</v>
      </c>
      <c r="F39" s="9" t="s">
        <v>67</v>
      </c>
      <c r="G39" s="9" t="s">
        <v>77</v>
      </c>
      <c r="H39" s="14">
        <v>1095000</v>
      </c>
      <c r="I39" s="17">
        <v>2</v>
      </c>
      <c r="J39" s="9" t="str">
        <f t="shared" si="0"/>
        <v>Stok Terbatas</v>
      </c>
      <c r="K39" s="9" t="s">
        <v>33</v>
      </c>
      <c r="L39" s="9" t="s">
        <v>40</v>
      </c>
      <c r="M39" s="10"/>
    </row>
    <row r="40" spans="1:13">
      <c r="A40" s="20" t="s">
        <v>769</v>
      </c>
      <c r="B40" s="23">
        <v>2</v>
      </c>
      <c r="C40" s="26" t="s">
        <v>55</v>
      </c>
      <c r="D40" s="9" t="s">
        <v>64</v>
      </c>
      <c r="E40" s="9" t="s">
        <v>770</v>
      </c>
      <c r="F40" s="9" t="s">
        <v>67</v>
      </c>
      <c r="G40" s="9" t="s">
        <v>170</v>
      </c>
      <c r="H40" s="14">
        <v>1095000</v>
      </c>
      <c r="I40" s="17">
        <v>1</v>
      </c>
      <c r="J40" s="9" t="str">
        <f t="shared" si="0"/>
        <v>Stok Terbatas</v>
      </c>
      <c r="K40" s="9" t="s">
        <v>33</v>
      </c>
      <c r="L40" s="9" t="s">
        <v>40</v>
      </c>
      <c r="M40" s="10"/>
    </row>
    <row r="41" spans="1:13">
      <c r="A41" s="20" t="s">
        <v>771</v>
      </c>
      <c r="B41" s="23">
        <v>2</v>
      </c>
      <c r="C41" s="26" t="s">
        <v>55</v>
      </c>
      <c r="D41" s="9" t="s">
        <v>53</v>
      </c>
      <c r="E41" s="9" t="s">
        <v>772</v>
      </c>
      <c r="F41" s="9" t="s">
        <v>63</v>
      </c>
      <c r="G41" s="9"/>
      <c r="H41" s="14">
        <v>385000</v>
      </c>
      <c r="I41" s="17">
        <v>2</v>
      </c>
      <c r="J41" s="9" t="str">
        <f t="shared" si="0"/>
        <v>Stok Terbatas</v>
      </c>
      <c r="K41" s="9" t="s">
        <v>57</v>
      </c>
      <c r="L41" s="9" t="s">
        <v>40</v>
      </c>
      <c r="M41" s="10"/>
    </row>
    <row r="42" spans="1:13">
      <c r="A42" s="20" t="s">
        <v>773</v>
      </c>
      <c r="B42" s="23">
        <v>2</v>
      </c>
      <c r="C42" s="26" t="s">
        <v>55</v>
      </c>
      <c r="D42" s="9" t="s">
        <v>53</v>
      </c>
      <c r="E42" s="9" t="s">
        <v>774</v>
      </c>
      <c r="F42" s="9" t="s">
        <v>775</v>
      </c>
      <c r="G42" s="9"/>
      <c r="H42" s="14">
        <v>385000</v>
      </c>
      <c r="I42" s="17">
        <v>2</v>
      </c>
      <c r="J42" s="9" t="str">
        <f t="shared" si="0"/>
        <v>Stok Terbatas</v>
      </c>
      <c r="K42" s="9" t="s">
        <v>57</v>
      </c>
      <c r="L42" s="9" t="s">
        <v>40</v>
      </c>
      <c r="M42" s="10"/>
    </row>
    <row r="43" spans="1:13">
      <c r="A43" s="20" t="s">
        <v>776</v>
      </c>
      <c r="B43" s="23">
        <v>2</v>
      </c>
      <c r="C43" s="26" t="s">
        <v>55</v>
      </c>
      <c r="D43" s="9" t="s">
        <v>60</v>
      </c>
      <c r="E43" s="9" t="s">
        <v>777</v>
      </c>
      <c r="F43" s="9" t="s">
        <v>63</v>
      </c>
      <c r="G43" s="9"/>
      <c r="H43" s="14">
        <v>385000</v>
      </c>
      <c r="I43" s="17">
        <v>1</v>
      </c>
      <c r="J43" s="9" t="str">
        <f t="shared" si="0"/>
        <v>Stok Terbatas</v>
      </c>
      <c r="K43" s="9" t="s">
        <v>57</v>
      </c>
      <c r="L43" s="9" t="s">
        <v>40</v>
      </c>
      <c r="M43" s="10"/>
    </row>
    <row r="44" spans="1:13">
      <c r="A44" s="20" t="s">
        <v>778</v>
      </c>
      <c r="B44" s="23">
        <v>2</v>
      </c>
      <c r="C44" s="26" t="s">
        <v>55</v>
      </c>
      <c r="D44" s="9" t="s">
        <v>69</v>
      </c>
      <c r="E44" s="9" t="s">
        <v>779</v>
      </c>
      <c r="F44" s="9" t="s">
        <v>246</v>
      </c>
      <c r="G44" s="9" t="s">
        <v>77</v>
      </c>
      <c r="H44" s="14">
        <v>1095000</v>
      </c>
      <c r="I44" s="17">
        <v>1</v>
      </c>
      <c r="J44" s="9" t="str">
        <f t="shared" si="0"/>
        <v>Stok Terbatas</v>
      </c>
      <c r="K44" s="9" t="s">
        <v>33</v>
      </c>
      <c r="L44" s="9" t="s">
        <v>40</v>
      </c>
      <c r="M44" s="10"/>
    </row>
    <row r="45" spans="1:13">
      <c r="A45" s="20" t="s">
        <v>780</v>
      </c>
      <c r="B45" s="23">
        <v>2</v>
      </c>
      <c r="C45" s="26" t="s">
        <v>55</v>
      </c>
      <c r="D45" s="9" t="s">
        <v>69</v>
      </c>
      <c r="E45" s="9" t="s">
        <v>781</v>
      </c>
      <c r="F45" s="9" t="s">
        <v>246</v>
      </c>
      <c r="G45" s="9" t="s">
        <v>170</v>
      </c>
      <c r="H45" s="14">
        <v>1095000</v>
      </c>
      <c r="I45" s="17">
        <v>1</v>
      </c>
      <c r="J45" s="9" t="str">
        <f t="shared" si="0"/>
        <v>Stok Terbatas</v>
      </c>
      <c r="K45" s="9" t="s">
        <v>33</v>
      </c>
      <c r="L45" s="9" t="s">
        <v>40</v>
      </c>
      <c r="M45" s="10"/>
    </row>
    <row r="46" spans="1:13">
      <c r="A46" s="20" t="s">
        <v>782</v>
      </c>
      <c r="B46" s="23">
        <v>2</v>
      </c>
      <c r="C46" s="26" t="s">
        <v>55</v>
      </c>
      <c r="D46" s="9" t="s">
        <v>69</v>
      </c>
      <c r="E46" s="9" t="s">
        <v>783</v>
      </c>
      <c r="F46" s="9" t="s">
        <v>394</v>
      </c>
      <c r="G46" s="9" t="s">
        <v>77</v>
      </c>
      <c r="H46" s="14">
        <v>1095000</v>
      </c>
      <c r="I46" s="17">
        <v>1</v>
      </c>
      <c r="J46" s="9" t="str">
        <f t="shared" si="0"/>
        <v>Stok Terbatas</v>
      </c>
      <c r="K46" s="9" t="s">
        <v>33</v>
      </c>
      <c r="L46" s="9" t="s">
        <v>40</v>
      </c>
      <c r="M46" s="10"/>
    </row>
    <row r="47" spans="1:13">
      <c r="A47" s="20" t="s">
        <v>784</v>
      </c>
      <c r="B47" s="23">
        <v>2</v>
      </c>
      <c r="C47" s="26" t="s">
        <v>55</v>
      </c>
      <c r="D47" s="9" t="s">
        <v>73</v>
      </c>
      <c r="E47" s="9" t="s">
        <v>785</v>
      </c>
      <c r="F47" s="9" t="s">
        <v>76</v>
      </c>
      <c r="G47" s="9" t="s">
        <v>77</v>
      </c>
      <c r="H47" s="14">
        <v>1145000</v>
      </c>
      <c r="I47" s="17">
        <v>2</v>
      </c>
      <c r="J47" s="9" t="str">
        <f t="shared" si="0"/>
        <v>Stok Terbatas</v>
      </c>
      <c r="K47" s="9" t="s">
        <v>33</v>
      </c>
      <c r="L47" s="9" t="s">
        <v>40</v>
      </c>
      <c r="M47" s="10"/>
    </row>
    <row r="48" spans="1:13">
      <c r="A48" s="20" t="s">
        <v>786</v>
      </c>
      <c r="B48" s="23">
        <v>2</v>
      </c>
      <c r="C48" s="26" t="s">
        <v>55</v>
      </c>
      <c r="D48" s="9" t="s">
        <v>85</v>
      </c>
      <c r="E48" s="9" t="s">
        <v>787</v>
      </c>
      <c r="F48" s="9" t="s">
        <v>89</v>
      </c>
      <c r="G48" s="9"/>
      <c r="H48" s="14">
        <v>825000</v>
      </c>
      <c r="I48" s="17">
        <v>1</v>
      </c>
      <c r="J48" s="9" t="str">
        <f t="shared" si="0"/>
        <v>Stok Terbatas</v>
      </c>
      <c r="K48" s="9" t="s">
        <v>88</v>
      </c>
      <c r="L48" s="9" t="s">
        <v>40</v>
      </c>
      <c r="M48" s="10"/>
    </row>
    <row r="49" spans="1:13">
      <c r="A49" s="20" t="s">
        <v>788</v>
      </c>
      <c r="B49" s="23">
        <v>2</v>
      </c>
      <c r="C49" s="26" t="s">
        <v>55</v>
      </c>
      <c r="D49" s="9" t="s">
        <v>78</v>
      </c>
      <c r="E49" s="9" t="s">
        <v>789</v>
      </c>
      <c r="F49" s="9"/>
      <c r="G49" s="9" t="s">
        <v>138</v>
      </c>
      <c r="H49" s="14">
        <v>650000</v>
      </c>
      <c r="I49" s="17">
        <v>2</v>
      </c>
      <c r="J49" s="9" t="str">
        <f t="shared" si="0"/>
        <v>Stok Terbatas</v>
      </c>
      <c r="K49" s="9" t="s">
        <v>33</v>
      </c>
      <c r="L49" s="9" t="s">
        <v>40</v>
      </c>
      <c r="M49" s="10"/>
    </row>
    <row r="50" spans="1:13">
      <c r="A50" s="20" t="s">
        <v>790</v>
      </c>
      <c r="B50" s="23">
        <v>2</v>
      </c>
      <c r="C50" s="26" t="s">
        <v>55</v>
      </c>
      <c r="D50" s="9" t="s">
        <v>78</v>
      </c>
      <c r="E50" s="9" t="s">
        <v>791</v>
      </c>
      <c r="F50" s="9"/>
      <c r="G50" s="9" t="s">
        <v>618</v>
      </c>
      <c r="H50" s="14">
        <v>650000</v>
      </c>
      <c r="I50" s="17">
        <v>2</v>
      </c>
      <c r="J50" s="9" t="str">
        <f t="shared" si="0"/>
        <v>Stok Terbatas</v>
      </c>
      <c r="K50" s="9" t="s">
        <v>33</v>
      </c>
      <c r="L50" s="9" t="s">
        <v>40</v>
      </c>
      <c r="M50" s="10"/>
    </row>
    <row r="51" spans="1:13">
      <c r="A51" s="20" t="s">
        <v>792</v>
      </c>
      <c r="B51" s="23">
        <v>2</v>
      </c>
      <c r="C51" s="26" t="s">
        <v>55</v>
      </c>
      <c r="D51" s="9" t="s">
        <v>78</v>
      </c>
      <c r="E51" s="9" t="s">
        <v>793</v>
      </c>
      <c r="F51" s="9"/>
      <c r="G51" s="9" t="s">
        <v>794</v>
      </c>
      <c r="H51" s="14">
        <v>650000</v>
      </c>
      <c r="I51" s="17">
        <v>3</v>
      </c>
      <c r="J51" s="9" t="str">
        <f t="shared" si="0"/>
        <v>Tersedia</v>
      </c>
      <c r="K51" s="9" t="s">
        <v>33</v>
      </c>
      <c r="L51" s="9" t="s">
        <v>40</v>
      </c>
      <c r="M51" s="10"/>
    </row>
    <row r="52" spans="1:13">
      <c r="A52" s="20" t="s">
        <v>795</v>
      </c>
      <c r="B52" s="23">
        <v>2</v>
      </c>
      <c r="C52" s="26" t="s">
        <v>55</v>
      </c>
      <c r="D52" s="9" t="s">
        <v>82</v>
      </c>
      <c r="E52" s="9" t="s">
        <v>796</v>
      </c>
      <c r="F52" s="9"/>
      <c r="G52" s="9" t="s">
        <v>77</v>
      </c>
      <c r="H52" s="14">
        <v>1025000</v>
      </c>
      <c r="I52" s="17">
        <v>1</v>
      </c>
      <c r="J52" s="9" t="str">
        <f t="shared" si="0"/>
        <v>Stok Terbatas</v>
      </c>
      <c r="K52" s="9" t="s">
        <v>33</v>
      </c>
      <c r="L52" s="9" t="s">
        <v>40</v>
      </c>
      <c r="M52" s="10"/>
    </row>
    <row r="53" spans="1:13">
      <c r="A53" s="20" t="s">
        <v>797</v>
      </c>
      <c r="B53" s="23">
        <v>2</v>
      </c>
      <c r="C53" s="26" t="s">
        <v>55</v>
      </c>
      <c r="D53" s="9" t="s">
        <v>90</v>
      </c>
      <c r="E53" s="9" t="s">
        <v>798</v>
      </c>
      <c r="F53" s="9"/>
      <c r="G53" s="9" t="s">
        <v>799</v>
      </c>
      <c r="H53" s="14">
        <v>450000</v>
      </c>
      <c r="I53" s="17">
        <v>1</v>
      </c>
      <c r="J53" s="9" t="str">
        <f t="shared" si="0"/>
        <v>Stok Terbatas</v>
      </c>
      <c r="K53" s="9" t="s">
        <v>48</v>
      </c>
      <c r="L53" s="9" t="s">
        <v>40</v>
      </c>
      <c r="M53" s="10"/>
    </row>
    <row r="54" spans="1:13">
      <c r="A54" s="20" t="s">
        <v>800</v>
      </c>
      <c r="B54" s="23">
        <v>2</v>
      </c>
      <c r="C54" s="26" t="s">
        <v>55</v>
      </c>
      <c r="D54" s="9" t="s">
        <v>90</v>
      </c>
      <c r="E54" s="9" t="s">
        <v>801</v>
      </c>
      <c r="F54" s="9"/>
      <c r="G54" s="9" t="s">
        <v>618</v>
      </c>
      <c r="H54" s="14">
        <v>450000</v>
      </c>
      <c r="I54" s="17">
        <v>4</v>
      </c>
      <c r="J54" s="9" t="str">
        <f t="shared" si="0"/>
        <v>Tersedia</v>
      </c>
      <c r="K54" s="9" t="s">
        <v>48</v>
      </c>
      <c r="L54" s="9" t="s">
        <v>40</v>
      </c>
      <c r="M54" s="10"/>
    </row>
    <row r="55" spans="1:13">
      <c r="A55" s="20" t="s">
        <v>802</v>
      </c>
      <c r="B55" s="23">
        <v>2</v>
      </c>
      <c r="C55" s="26" t="s">
        <v>55</v>
      </c>
      <c r="D55" s="9" t="s">
        <v>90</v>
      </c>
      <c r="E55" s="9" t="s">
        <v>803</v>
      </c>
      <c r="F55" s="9"/>
      <c r="G55" s="9" t="s">
        <v>794</v>
      </c>
      <c r="H55" s="14">
        <v>450000</v>
      </c>
      <c r="I55" s="17">
        <v>4</v>
      </c>
      <c r="J55" s="9" t="str">
        <f t="shared" si="0"/>
        <v>Tersedia</v>
      </c>
      <c r="K55" s="9" t="s">
        <v>48</v>
      </c>
      <c r="L55" s="9" t="s">
        <v>40</v>
      </c>
      <c r="M55" s="10"/>
    </row>
    <row r="56" spans="1:13">
      <c r="A56" s="20" t="s">
        <v>804</v>
      </c>
      <c r="B56" s="23">
        <v>2</v>
      </c>
      <c r="C56" s="26" t="s">
        <v>55</v>
      </c>
      <c r="D56" s="9" t="s">
        <v>90</v>
      </c>
      <c r="E56" s="9" t="s">
        <v>805</v>
      </c>
      <c r="F56" s="9"/>
      <c r="G56" s="9" t="s">
        <v>806</v>
      </c>
      <c r="H56" s="14">
        <v>450000</v>
      </c>
      <c r="I56" s="17">
        <v>3</v>
      </c>
      <c r="J56" s="9" t="str">
        <f t="shared" si="0"/>
        <v>Tersedia</v>
      </c>
      <c r="K56" s="9" t="s">
        <v>48</v>
      </c>
      <c r="L56" s="9" t="s">
        <v>40</v>
      </c>
      <c r="M56" s="10"/>
    </row>
    <row r="57" spans="1:13">
      <c r="A57" s="20" t="s">
        <v>807</v>
      </c>
      <c r="B57" s="23">
        <v>3</v>
      </c>
      <c r="C57" s="26" t="s">
        <v>96</v>
      </c>
      <c r="D57" s="9" t="s">
        <v>148</v>
      </c>
      <c r="E57" s="9" t="s">
        <v>808</v>
      </c>
      <c r="F57" s="9"/>
      <c r="G57" s="9" t="s">
        <v>77</v>
      </c>
      <c r="H57" s="14">
        <v>499000</v>
      </c>
      <c r="I57" s="17">
        <v>1</v>
      </c>
      <c r="J57" s="9" t="str">
        <f t="shared" si="0"/>
        <v>Stok Terbatas</v>
      </c>
      <c r="K57" s="9" t="s">
        <v>48</v>
      </c>
      <c r="L57" s="9" t="s">
        <v>40</v>
      </c>
      <c r="M57" s="10"/>
    </row>
    <row r="58" spans="1:13">
      <c r="A58" s="20" t="s">
        <v>809</v>
      </c>
      <c r="B58" s="23">
        <v>3</v>
      </c>
      <c r="C58" s="26" t="s">
        <v>96</v>
      </c>
      <c r="D58" s="9" t="s">
        <v>103</v>
      </c>
      <c r="E58" s="9" t="s">
        <v>810</v>
      </c>
      <c r="F58" s="9"/>
      <c r="G58" s="9" t="s">
        <v>811</v>
      </c>
      <c r="H58" s="14">
        <v>795000</v>
      </c>
      <c r="I58" s="17">
        <v>1</v>
      </c>
      <c r="J58" s="9" t="str">
        <f t="shared" si="0"/>
        <v>Stok Terbatas</v>
      </c>
      <c r="K58" s="9" t="s">
        <v>33</v>
      </c>
      <c r="L58" s="9" t="s">
        <v>40</v>
      </c>
      <c r="M58" s="10"/>
    </row>
    <row r="59" spans="1:13">
      <c r="A59" s="20" t="s">
        <v>812</v>
      </c>
      <c r="B59" s="23">
        <v>3</v>
      </c>
      <c r="C59" s="26" t="s">
        <v>96</v>
      </c>
      <c r="D59" s="9" t="s">
        <v>103</v>
      </c>
      <c r="E59" s="9" t="s">
        <v>813</v>
      </c>
      <c r="F59" s="9"/>
      <c r="G59" s="9" t="s">
        <v>814</v>
      </c>
      <c r="H59" s="14">
        <v>795000</v>
      </c>
      <c r="I59" s="17">
        <v>1</v>
      </c>
      <c r="J59" s="9" t="str">
        <f t="shared" si="0"/>
        <v>Stok Terbatas</v>
      </c>
      <c r="K59" s="9" t="s">
        <v>33</v>
      </c>
      <c r="L59" s="9" t="s">
        <v>40</v>
      </c>
      <c r="M59" s="10"/>
    </row>
    <row r="60" spans="1:13">
      <c r="A60" s="20" t="s">
        <v>815</v>
      </c>
      <c r="B60" s="23">
        <v>3</v>
      </c>
      <c r="C60" s="26" t="s">
        <v>96</v>
      </c>
      <c r="D60" s="9" t="s">
        <v>103</v>
      </c>
      <c r="E60" s="9" t="s">
        <v>816</v>
      </c>
      <c r="F60" s="9"/>
      <c r="G60" s="9" t="s">
        <v>817</v>
      </c>
      <c r="H60" s="14">
        <v>795000</v>
      </c>
      <c r="I60" s="17">
        <v>1</v>
      </c>
      <c r="J60" s="9" t="str">
        <f t="shared" si="0"/>
        <v>Stok Terbatas</v>
      </c>
      <c r="K60" s="9" t="s">
        <v>33</v>
      </c>
      <c r="L60" s="9" t="s">
        <v>40</v>
      </c>
      <c r="M60" s="10"/>
    </row>
    <row r="61" spans="1:13">
      <c r="A61" s="20" t="s">
        <v>818</v>
      </c>
      <c r="B61" s="23">
        <v>3</v>
      </c>
      <c r="C61" s="26" t="s">
        <v>96</v>
      </c>
      <c r="D61" s="9" t="s">
        <v>151</v>
      </c>
      <c r="E61" s="9" t="s">
        <v>819</v>
      </c>
      <c r="F61" s="9" t="s">
        <v>820</v>
      </c>
      <c r="G61" s="9" t="s">
        <v>821</v>
      </c>
      <c r="H61" s="14">
        <v>389000</v>
      </c>
      <c r="I61" s="17">
        <v>1</v>
      </c>
      <c r="J61" s="9" t="str">
        <f t="shared" si="0"/>
        <v>Stok Terbatas</v>
      </c>
      <c r="K61" s="9" t="s">
        <v>48</v>
      </c>
      <c r="L61" s="9" t="s">
        <v>40</v>
      </c>
      <c r="M61" s="10"/>
    </row>
    <row r="62" spans="1:13">
      <c r="A62" s="20" t="s">
        <v>822</v>
      </c>
      <c r="B62" s="23">
        <v>3</v>
      </c>
      <c r="C62" s="26" t="s">
        <v>96</v>
      </c>
      <c r="D62" s="9" t="s">
        <v>151</v>
      </c>
      <c r="E62" s="9" t="s">
        <v>823</v>
      </c>
      <c r="F62" s="9" t="s">
        <v>820</v>
      </c>
      <c r="G62" s="9" t="s">
        <v>143</v>
      </c>
      <c r="H62" s="14">
        <v>389000</v>
      </c>
      <c r="I62" s="17">
        <v>2</v>
      </c>
      <c r="J62" s="9" t="str">
        <f t="shared" si="0"/>
        <v>Stok Terbatas</v>
      </c>
      <c r="K62" s="9" t="s">
        <v>48</v>
      </c>
      <c r="L62" s="9" t="s">
        <v>40</v>
      </c>
      <c r="M62" s="10"/>
    </row>
    <row r="63" spans="1:13">
      <c r="A63" s="20" t="s">
        <v>824</v>
      </c>
      <c r="B63" s="23">
        <v>3</v>
      </c>
      <c r="C63" s="26" t="s">
        <v>96</v>
      </c>
      <c r="D63" s="9" t="s">
        <v>151</v>
      </c>
      <c r="E63" s="9" t="s">
        <v>825</v>
      </c>
      <c r="F63" s="9" t="s">
        <v>820</v>
      </c>
      <c r="G63" s="9" t="s">
        <v>814</v>
      </c>
      <c r="H63" s="14">
        <v>389000</v>
      </c>
      <c r="I63" s="17">
        <v>1</v>
      </c>
      <c r="J63" s="9" t="str">
        <f t="shared" si="0"/>
        <v>Stok Terbatas</v>
      </c>
      <c r="K63" s="9" t="s">
        <v>48</v>
      </c>
      <c r="L63" s="9" t="s">
        <v>40</v>
      </c>
      <c r="M63" s="10"/>
    </row>
    <row r="64" spans="1:13">
      <c r="A64" s="20" t="s">
        <v>826</v>
      </c>
      <c r="B64" s="23">
        <v>3</v>
      </c>
      <c r="C64" s="26" t="s">
        <v>96</v>
      </c>
      <c r="D64" s="9" t="s">
        <v>151</v>
      </c>
      <c r="E64" s="9" t="s">
        <v>827</v>
      </c>
      <c r="F64" s="9" t="s">
        <v>820</v>
      </c>
      <c r="G64" s="9" t="s">
        <v>817</v>
      </c>
      <c r="H64" s="14">
        <v>389000</v>
      </c>
      <c r="I64" s="17">
        <v>2</v>
      </c>
      <c r="J64" s="9" t="str">
        <f t="shared" si="0"/>
        <v>Stok Terbatas</v>
      </c>
      <c r="K64" s="9" t="s">
        <v>48</v>
      </c>
      <c r="L64" s="9" t="s">
        <v>40</v>
      </c>
      <c r="M64" s="10"/>
    </row>
    <row r="65" spans="1:13">
      <c r="A65" s="20" t="s">
        <v>828</v>
      </c>
      <c r="B65" s="23">
        <v>3</v>
      </c>
      <c r="C65" s="26" t="s">
        <v>96</v>
      </c>
      <c r="D65" s="9" t="s">
        <v>151</v>
      </c>
      <c r="E65" s="9" t="s">
        <v>829</v>
      </c>
      <c r="F65" s="9" t="s">
        <v>142</v>
      </c>
      <c r="G65" s="9" t="s">
        <v>821</v>
      </c>
      <c r="H65" s="14">
        <v>389000</v>
      </c>
      <c r="I65" s="17">
        <v>1</v>
      </c>
      <c r="J65" s="9" t="str">
        <f t="shared" si="0"/>
        <v>Stok Terbatas</v>
      </c>
      <c r="K65" s="9" t="s">
        <v>48</v>
      </c>
      <c r="L65" s="9" t="s">
        <v>40</v>
      </c>
      <c r="M65" s="10"/>
    </row>
    <row r="66" spans="1:13">
      <c r="A66" s="20" t="s">
        <v>830</v>
      </c>
      <c r="B66" s="23">
        <v>3</v>
      </c>
      <c r="C66" s="26" t="s">
        <v>96</v>
      </c>
      <c r="D66" s="9" t="s">
        <v>151</v>
      </c>
      <c r="E66" s="9" t="s">
        <v>831</v>
      </c>
      <c r="F66" s="9" t="s">
        <v>142</v>
      </c>
      <c r="G66" s="9" t="s">
        <v>143</v>
      </c>
      <c r="H66" s="14">
        <v>389000</v>
      </c>
      <c r="I66" s="17">
        <v>2</v>
      </c>
      <c r="J66" s="9" t="str">
        <f t="shared" ref="J66:J129" si="1">IF(I66&lt;=0,"Habis",IF(I66&lt;=2,"Stok Terbatas","Tersedia"))</f>
        <v>Stok Terbatas</v>
      </c>
      <c r="K66" s="9" t="s">
        <v>48</v>
      </c>
      <c r="L66" s="9" t="s">
        <v>40</v>
      </c>
      <c r="M66" s="10"/>
    </row>
    <row r="67" spans="1:13">
      <c r="A67" s="20" t="s">
        <v>832</v>
      </c>
      <c r="B67" s="23">
        <v>3</v>
      </c>
      <c r="C67" s="26" t="s">
        <v>96</v>
      </c>
      <c r="D67" s="9" t="s">
        <v>151</v>
      </c>
      <c r="E67" s="9" t="s">
        <v>833</v>
      </c>
      <c r="F67" s="9" t="s">
        <v>142</v>
      </c>
      <c r="G67" s="9" t="s">
        <v>817</v>
      </c>
      <c r="H67" s="14">
        <v>389000</v>
      </c>
      <c r="I67" s="17">
        <v>1</v>
      </c>
      <c r="J67" s="9" t="str">
        <f t="shared" si="1"/>
        <v>Stok Terbatas</v>
      </c>
      <c r="K67" s="9" t="s">
        <v>48</v>
      </c>
      <c r="L67" s="9" t="s">
        <v>40</v>
      </c>
      <c r="M67" s="10"/>
    </row>
    <row r="68" spans="1:13">
      <c r="A68" s="20" t="s">
        <v>834</v>
      </c>
      <c r="B68" s="23">
        <v>3</v>
      </c>
      <c r="C68" s="26" t="s">
        <v>96</v>
      </c>
      <c r="D68" s="9" t="s">
        <v>156</v>
      </c>
      <c r="E68" s="9" t="s">
        <v>835</v>
      </c>
      <c r="F68" s="9"/>
      <c r="G68" s="9" t="s">
        <v>159</v>
      </c>
      <c r="H68" s="14">
        <v>525000</v>
      </c>
      <c r="I68" s="17">
        <v>2</v>
      </c>
      <c r="J68" s="9" t="str">
        <f t="shared" si="1"/>
        <v>Stok Terbatas</v>
      </c>
      <c r="K68" s="9" t="s">
        <v>48</v>
      </c>
      <c r="L68" s="9" t="s">
        <v>40</v>
      </c>
      <c r="M68" s="10"/>
    </row>
    <row r="69" spans="1:13">
      <c r="A69" s="20" t="s">
        <v>836</v>
      </c>
      <c r="B69" s="23">
        <v>3</v>
      </c>
      <c r="C69" s="26" t="s">
        <v>96</v>
      </c>
      <c r="D69" s="9" t="s">
        <v>94</v>
      </c>
      <c r="E69" s="9" t="s">
        <v>97</v>
      </c>
      <c r="F69" s="9"/>
      <c r="G69" s="9"/>
      <c r="H69" s="14">
        <v>559000</v>
      </c>
      <c r="I69" s="17">
        <v>3</v>
      </c>
      <c r="J69" s="9" t="str">
        <f t="shared" si="1"/>
        <v>Tersedia</v>
      </c>
      <c r="K69" s="9" t="s">
        <v>98</v>
      </c>
      <c r="L69" s="9" t="s">
        <v>40</v>
      </c>
      <c r="M69" s="10"/>
    </row>
    <row r="70" spans="1:13">
      <c r="A70" s="20" t="s">
        <v>837</v>
      </c>
      <c r="B70" s="23">
        <v>3</v>
      </c>
      <c r="C70" s="26" t="s">
        <v>96</v>
      </c>
      <c r="D70" s="9" t="s">
        <v>160</v>
      </c>
      <c r="E70" s="9" t="s">
        <v>838</v>
      </c>
      <c r="F70" s="9" t="s">
        <v>163</v>
      </c>
      <c r="G70" s="9" t="s">
        <v>77</v>
      </c>
      <c r="H70" s="14">
        <v>525000</v>
      </c>
      <c r="I70" s="17">
        <v>1</v>
      </c>
      <c r="J70" s="9" t="str">
        <f t="shared" si="1"/>
        <v>Stok Terbatas</v>
      </c>
      <c r="K70" s="9" t="s">
        <v>48</v>
      </c>
      <c r="L70" s="9" t="s">
        <v>40</v>
      </c>
      <c r="M70" s="10"/>
    </row>
    <row r="71" spans="1:13">
      <c r="A71" s="20" t="s">
        <v>839</v>
      </c>
      <c r="B71" s="23">
        <v>3</v>
      </c>
      <c r="C71" s="26" t="s">
        <v>96</v>
      </c>
      <c r="D71" s="9" t="s">
        <v>164</v>
      </c>
      <c r="E71" s="9" t="s">
        <v>840</v>
      </c>
      <c r="F71" s="9"/>
      <c r="G71" s="9" t="s">
        <v>77</v>
      </c>
      <c r="H71" s="14">
        <v>595000</v>
      </c>
      <c r="I71" s="17">
        <v>1</v>
      </c>
      <c r="J71" s="9" t="str">
        <f t="shared" si="1"/>
        <v>Stok Terbatas</v>
      </c>
      <c r="K71" s="9" t="s">
        <v>48</v>
      </c>
      <c r="L71" s="9" t="s">
        <v>40</v>
      </c>
      <c r="M71" s="10"/>
    </row>
    <row r="72" spans="1:13">
      <c r="A72" s="20" t="s">
        <v>841</v>
      </c>
      <c r="B72" s="23">
        <v>3</v>
      </c>
      <c r="C72" s="26" t="s">
        <v>96</v>
      </c>
      <c r="D72" s="9" t="s">
        <v>167</v>
      </c>
      <c r="E72" s="9" t="s">
        <v>842</v>
      </c>
      <c r="F72" s="9"/>
      <c r="G72" s="9" t="s">
        <v>170</v>
      </c>
      <c r="H72" s="14">
        <v>595000</v>
      </c>
      <c r="I72" s="17">
        <v>1</v>
      </c>
      <c r="J72" s="9" t="str">
        <f t="shared" si="1"/>
        <v>Stok Terbatas</v>
      </c>
      <c r="K72" s="9" t="s">
        <v>48</v>
      </c>
      <c r="L72" s="9" t="s">
        <v>40</v>
      </c>
      <c r="M72" s="10"/>
    </row>
    <row r="73" spans="1:13">
      <c r="A73" s="20" t="s">
        <v>843</v>
      </c>
      <c r="B73" s="23">
        <v>3</v>
      </c>
      <c r="C73" s="26" t="s">
        <v>96</v>
      </c>
      <c r="D73" s="9" t="s">
        <v>171</v>
      </c>
      <c r="E73" s="9" t="s">
        <v>844</v>
      </c>
      <c r="F73" s="9"/>
      <c r="G73" s="9" t="s">
        <v>77</v>
      </c>
      <c r="H73" s="14">
        <v>595000</v>
      </c>
      <c r="I73" s="17">
        <v>1</v>
      </c>
      <c r="J73" s="9" t="str">
        <f t="shared" si="1"/>
        <v>Stok Terbatas</v>
      </c>
      <c r="K73" s="9" t="s">
        <v>48</v>
      </c>
      <c r="L73" s="9" t="s">
        <v>40</v>
      </c>
      <c r="M73" s="10"/>
    </row>
    <row r="74" spans="1:13">
      <c r="A74" s="20" t="s">
        <v>845</v>
      </c>
      <c r="B74" s="23">
        <v>3</v>
      </c>
      <c r="C74" s="26" t="s">
        <v>96</v>
      </c>
      <c r="D74" s="9" t="s">
        <v>171</v>
      </c>
      <c r="E74" s="9" t="s">
        <v>846</v>
      </c>
      <c r="F74" s="9"/>
      <c r="G74" s="9" t="s">
        <v>170</v>
      </c>
      <c r="H74" s="14">
        <v>595000</v>
      </c>
      <c r="I74" s="17">
        <v>2</v>
      </c>
      <c r="J74" s="9" t="str">
        <f t="shared" si="1"/>
        <v>Stok Terbatas</v>
      </c>
      <c r="K74" s="9" t="s">
        <v>48</v>
      </c>
      <c r="L74" s="9" t="s">
        <v>40</v>
      </c>
      <c r="M74" s="10"/>
    </row>
    <row r="75" spans="1:13">
      <c r="A75" s="20" t="s">
        <v>847</v>
      </c>
      <c r="B75" s="23">
        <v>3</v>
      </c>
      <c r="C75" s="26" t="s">
        <v>96</v>
      </c>
      <c r="D75" s="9" t="s">
        <v>118</v>
      </c>
      <c r="E75" s="9" t="s">
        <v>848</v>
      </c>
      <c r="F75" s="9"/>
      <c r="G75" s="9" t="s">
        <v>122</v>
      </c>
      <c r="H75" s="14">
        <v>549000</v>
      </c>
      <c r="I75" s="17">
        <v>1</v>
      </c>
      <c r="J75" s="9" t="str">
        <f t="shared" si="1"/>
        <v>Stok Terbatas</v>
      </c>
      <c r="K75" s="9" t="s">
        <v>121</v>
      </c>
      <c r="L75" s="9" t="s">
        <v>40</v>
      </c>
      <c r="M75" s="10"/>
    </row>
    <row r="76" spans="1:13">
      <c r="A76" s="20" t="s">
        <v>849</v>
      </c>
      <c r="B76" s="23">
        <v>3</v>
      </c>
      <c r="C76" s="26" t="s">
        <v>96</v>
      </c>
      <c r="D76" s="9" t="s">
        <v>130</v>
      </c>
      <c r="E76" s="9" t="s">
        <v>850</v>
      </c>
      <c r="F76" s="9"/>
      <c r="G76" s="9" t="s">
        <v>851</v>
      </c>
      <c r="H76" s="14">
        <v>925000</v>
      </c>
      <c r="I76" s="17">
        <v>1</v>
      </c>
      <c r="J76" s="9" t="str">
        <f t="shared" si="1"/>
        <v>Stok Terbatas</v>
      </c>
      <c r="K76" s="9" t="s">
        <v>133</v>
      </c>
      <c r="L76" s="9" t="s">
        <v>40</v>
      </c>
      <c r="M76" s="10"/>
    </row>
    <row r="77" spans="1:13">
      <c r="A77" s="20" t="s">
        <v>852</v>
      </c>
      <c r="B77" s="23">
        <v>3</v>
      </c>
      <c r="C77" s="26" t="s">
        <v>96</v>
      </c>
      <c r="D77" s="9" t="s">
        <v>130</v>
      </c>
      <c r="E77" s="9" t="s">
        <v>853</v>
      </c>
      <c r="F77" s="9"/>
      <c r="G77" s="9" t="s">
        <v>235</v>
      </c>
      <c r="H77" s="14">
        <v>925000</v>
      </c>
      <c r="I77" s="17">
        <v>1</v>
      </c>
      <c r="J77" s="9" t="str">
        <f t="shared" si="1"/>
        <v>Stok Terbatas</v>
      </c>
      <c r="K77" s="9" t="s">
        <v>133</v>
      </c>
      <c r="L77" s="9" t="s">
        <v>40</v>
      </c>
      <c r="M77" s="10"/>
    </row>
    <row r="78" spans="1:13">
      <c r="A78" s="20" t="s">
        <v>854</v>
      </c>
      <c r="B78" s="23">
        <v>3</v>
      </c>
      <c r="C78" s="26" t="s">
        <v>96</v>
      </c>
      <c r="D78" s="9" t="s">
        <v>130</v>
      </c>
      <c r="E78" s="9" t="s">
        <v>855</v>
      </c>
      <c r="F78" s="9"/>
      <c r="G78" s="9" t="s">
        <v>147</v>
      </c>
      <c r="H78" s="14">
        <v>925000</v>
      </c>
      <c r="I78" s="17">
        <v>1</v>
      </c>
      <c r="J78" s="9" t="str">
        <f t="shared" si="1"/>
        <v>Stok Terbatas</v>
      </c>
      <c r="K78" s="9" t="s">
        <v>133</v>
      </c>
      <c r="L78" s="9" t="s">
        <v>40</v>
      </c>
      <c r="M78" s="10"/>
    </row>
    <row r="79" spans="1:13">
      <c r="A79" s="20" t="s">
        <v>856</v>
      </c>
      <c r="B79" s="23">
        <v>3</v>
      </c>
      <c r="C79" s="26" t="s">
        <v>96</v>
      </c>
      <c r="D79" s="9" t="s">
        <v>130</v>
      </c>
      <c r="E79" s="9" t="s">
        <v>857</v>
      </c>
      <c r="F79" s="9"/>
      <c r="G79" s="9" t="s">
        <v>858</v>
      </c>
      <c r="H79" s="14">
        <v>925000</v>
      </c>
      <c r="I79" s="17">
        <v>1</v>
      </c>
      <c r="J79" s="9" t="str">
        <f t="shared" si="1"/>
        <v>Stok Terbatas</v>
      </c>
      <c r="K79" s="9" t="s">
        <v>133</v>
      </c>
      <c r="L79" s="9" t="s">
        <v>40</v>
      </c>
      <c r="M79" s="10"/>
    </row>
    <row r="80" spans="1:13">
      <c r="A80" s="20" t="s">
        <v>859</v>
      </c>
      <c r="B80" s="23">
        <v>3</v>
      </c>
      <c r="C80" s="26" t="s">
        <v>96</v>
      </c>
      <c r="D80" s="9" t="s">
        <v>130</v>
      </c>
      <c r="E80" s="9" t="s">
        <v>860</v>
      </c>
      <c r="F80" s="9"/>
      <c r="G80" s="9" t="s">
        <v>861</v>
      </c>
      <c r="H80" s="14">
        <v>925000</v>
      </c>
      <c r="I80" s="17">
        <v>1</v>
      </c>
      <c r="J80" s="9" t="str">
        <f t="shared" si="1"/>
        <v>Stok Terbatas</v>
      </c>
      <c r="K80" s="9" t="s">
        <v>133</v>
      </c>
      <c r="L80" s="9" t="s">
        <v>40</v>
      </c>
      <c r="M80" s="10"/>
    </row>
    <row r="81" spans="1:13">
      <c r="A81" s="20" t="s">
        <v>862</v>
      </c>
      <c r="B81" s="23">
        <v>3</v>
      </c>
      <c r="C81" s="26" t="s">
        <v>96</v>
      </c>
      <c r="D81" s="9" t="s">
        <v>174</v>
      </c>
      <c r="E81" s="9" t="s">
        <v>863</v>
      </c>
      <c r="F81" s="9"/>
      <c r="G81" s="9" t="s">
        <v>177</v>
      </c>
      <c r="H81" s="14">
        <v>579000</v>
      </c>
      <c r="I81" s="17">
        <v>1</v>
      </c>
      <c r="J81" s="9" t="str">
        <f t="shared" si="1"/>
        <v>Stok Terbatas</v>
      </c>
      <c r="K81" s="9" t="s">
        <v>48</v>
      </c>
      <c r="L81" s="9" t="s">
        <v>40</v>
      </c>
      <c r="M81" s="10"/>
    </row>
    <row r="82" spans="1:13">
      <c r="A82" s="20" t="s">
        <v>864</v>
      </c>
      <c r="B82" s="23">
        <v>3</v>
      </c>
      <c r="C82" s="26" t="s">
        <v>96</v>
      </c>
      <c r="D82" s="9" t="s">
        <v>178</v>
      </c>
      <c r="E82" s="9" t="s">
        <v>865</v>
      </c>
      <c r="F82" s="9"/>
      <c r="G82" s="9" t="s">
        <v>851</v>
      </c>
      <c r="H82" s="14">
        <v>449000</v>
      </c>
      <c r="I82" s="17">
        <v>1</v>
      </c>
      <c r="J82" s="9" t="str">
        <f t="shared" si="1"/>
        <v>Stok Terbatas</v>
      </c>
      <c r="K82" s="9" t="s">
        <v>48</v>
      </c>
      <c r="L82" s="9" t="s">
        <v>40</v>
      </c>
      <c r="M82" s="10"/>
    </row>
    <row r="83" spans="1:13">
      <c r="A83" s="20" t="s">
        <v>866</v>
      </c>
      <c r="B83" s="23">
        <v>3</v>
      </c>
      <c r="C83" s="26" t="s">
        <v>96</v>
      </c>
      <c r="D83" s="9" t="s">
        <v>178</v>
      </c>
      <c r="E83" s="9" t="s">
        <v>867</v>
      </c>
      <c r="F83" s="9"/>
      <c r="G83" s="9" t="s">
        <v>235</v>
      </c>
      <c r="H83" s="14">
        <v>449000</v>
      </c>
      <c r="I83" s="17">
        <v>1</v>
      </c>
      <c r="J83" s="9" t="str">
        <f t="shared" si="1"/>
        <v>Stok Terbatas</v>
      </c>
      <c r="K83" s="9" t="s">
        <v>48</v>
      </c>
      <c r="L83" s="9" t="s">
        <v>40</v>
      </c>
      <c r="M83" s="10"/>
    </row>
    <row r="84" spans="1:13">
      <c r="A84" s="20" t="s">
        <v>868</v>
      </c>
      <c r="B84" s="23">
        <v>3</v>
      </c>
      <c r="C84" s="26" t="s">
        <v>96</v>
      </c>
      <c r="D84" s="9" t="s">
        <v>178</v>
      </c>
      <c r="E84" s="9" t="s">
        <v>869</v>
      </c>
      <c r="F84" s="9"/>
      <c r="G84" s="9" t="s">
        <v>147</v>
      </c>
      <c r="H84" s="14">
        <v>449000</v>
      </c>
      <c r="I84" s="17">
        <v>2</v>
      </c>
      <c r="J84" s="9" t="str">
        <f t="shared" si="1"/>
        <v>Stok Terbatas</v>
      </c>
      <c r="K84" s="9" t="s">
        <v>48</v>
      </c>
      <c r="L84" s="9" t="s">
        <v>40</v>
      </c>
      <c r="M84" s="10"/>
    </row>
    <row r="85" spans="1:13">
      <c r="A85" s="20" t="s">
        <v>870</v>
      </c>
      <c r="B85" s="23">
        <v>3</v>
      </c>
      <c r="C85" s="26" t="s">
        <v>96</v>
      </c>
      <c r="D85" s="9" t="s">
        <v>178</v>
      </c>
      <c r="E85" s="9" t="s">
        <v>871</v>
      </c>
      <c r="F85" s="9"/>
      <c r="G85" s="9" t="s">
        <v>858</v>
      </c>
      <c r="H85" s="14">
        <v>449000</v>
      </c>
      <c r="I85" s="17">
        <v>1</v>
      </c>
      <c r="J85" s="9" t="str">
        <f t="shared" si="1"/>
        <v>Stok Terbatas</v>
      </c>
      <c r="K85" s="9" t="s">
        <v>48</v>
      </c>
      <c r="L85" s="9" t="s">
        <v>40</v>
      </c>
      <c r="M85" s="10"/>
    </row>
    <row r="86" spans="1:13">
      <c r="A86" s="20" t="s">
        <v>872</v>
      </c>
      <c r="B86" s="23">
        <v>3</v>
      </c>
      <c r="C86" s="26" t="s">
        <v>96</v>
      </c>
      <c r="D86" s="9" t="s">
        <v>178</v>
      </c>
      <c r="E86" s="9" t="s">
        <v>873</v>
      </c>
      <c r="F86" s="9"/>
      <c r="G86" s="9" t="s">
        <v>861</v>
      </c>
      <c r="H86" s="14">
        <v>449000</v>
      </c>
      <c r="I86" s="17">
        <v>1</v>
      </c>
      <c r="J86" s="9" t="str">
        <f t="shared" si="1"/>
        <v>Stok Terbatas</v>
      </c>
      <c r="K86" s="9" t="s">
        <v>48</v>
      </c>
      <c r="L86" s="9" t="s">
        <v>40</v>
      </c>
      <c r="M86" s="10"/>
    </row>
    <row r="87" spans="1:13">
      <c r="A87" s="20" t="s">
        <v>874</v>
      </c>
      <c r="B87" s="23">
        <v>3</v>
      </c>
      <c r="C87" s="26" t="s">
        <v>96</v>
      </c>
      <c r="D87" s="9" t="s">
        <v>181</v>
      </c>
      <c r="E87" s="9" t="s">
        <v>875</v>
      </c>
      <c r="F87" s="9"/>
      <c r="G87" s="9" t="s">
        <v>851</v>
      </c>
      <c r="H87" s="14">
        <v>449000</v>
      </c>
      <c r="I87" s="17">
        <v>1</v>
      </c>
      <c r="J87" s="9" t="str">
        <f t="shared" si="1"/>
        <v>Stok Terbatas</v>
      </c>
      <c r="K87" s="9" t="s">
        <v>48</v>
      </c>
      <c r="L87" s="9" t="s">
        <v>40</v>
      </c>
      <c r="M87" s="10"/>
    </row>
    <row r="88" spans="1:13">
      <c r="A88" s="20" t="s">
        <v>876</v>
      </c>
      <c r="B88" s="23">
        <v>3</v>
      </c>
      <c r="C88" s="26" t="s">
        <v>96</v>
      </c>
      <c r="D88" s="9" t="s">
        <v>181</v>
      </c>
      <c r="E88" s="9" t="s">
        <v>877</v>
      </c>
      <c r="F88" s="9"/>
      <c r="G88" s="9" t="s">
        <v>861</v>
      </c>
      <c r="H88" s="14">
        <v>449000</v>
      </c>
      <c r="I88" s="17">
        <v>2</v>
      </c>
      <c r="J88" s="9" t="str">
        <f t="shared" si="1"/>
        <v>Stok Terbatas</v>
      </c>
      <c r="K88" s="9" t="s">
        <v>48</v>
      </c>
      <c r="L88" s="9" t="s">
        <v>40</v>
      </c>
      <c r="M88" s="10"/>
    </row>
    <row r="89" spans="1:13">
      <c r="A89" s="20" t="s">
        <v>878</v>
      </c>
      <c r="B89" s="23">
        <v>3</v>
      </c>
      <c r="C89" s="26" t="s">
        <v>96</v>
      </c>
      <c r="D89" s="9" t="s">
        <v>107</v>
      </c>
      <c r="E89" s="9" t="s">
        <v>879</v>
      </c>
      <c r="F89" s="9"/>
      <c r="G89" s="9" t="s">
        <v>799</v>
      </c>
      <c r="H89" s="14">
        <v>785000</v>
      </c>
      <c r="I89" s="17">
        <v>2</v>
      </c>
      <c r="J89" s="9" t="str">
        <f t="shared" si="1"/>
        <v>Stok Terbatas</v>
      </c>
      <c r="K89" s="9" t="s">
        <v>33</v>
      </c>
      <c r="L89" s="9" t="s">
        <v>40</v>
      </c>
      <c r="M89" s="10"/>
    </row>
    <row r="90" spans="1:13">
      <c r="A90" s="20" t="s">
        <v>880</v>
      </c>
      <c r="B90" s="23">
        <v>3</v>
      </c>
      <c r="C90" s="26" t="s">
        <v>96</v>
      </c>
      <c r="D90" s="9" t="s">
        <v>107</v>
      </c>
      <c r="E90" s="9" t="s">
        <v>881</v>
      </c>
      <c r="F90" s="9"/>
      <c r="G90" s="9" t="s">
        <v>138</v>
      </c>
      <c r="H90" s="14">
        <v>785000</v>
      </c>
      <c r="I90" s="17">
        <v>1</v>
      </c>
      <c r="J90" s="9" t="str">
        <f t="shared" si="1"/>
        <v>Stok Terbatas</v>
      </c>
      <c r="K90" s="9" t="s">
        <v>33</v>
      </c>
      <c r="L90" s="9" t="s">
        <v>40</v>
      </c>
      <c r="M90" s="10"/>
    </row>
    <row r="91" spans="1:13">
      <c r="A91" s="20" t="s">
        <v>882</v>
      </c>
      <c r="B91" s="23">
        <v>3</v>
      </c>
      <c r="C91" s="26" t="s">
        <v>96</v>
      </c>
      <c r="D91" s="9" t="s">
        <v>107</v>
      </c>
      <c r="E91" s="9" t="s">
        <v>883</v>
      </c>
      <c r="F91" s="9"/>
      <c r="G91" s="9" t="s">
        <v>618</v>
      </c>
      <c r="H91" s="14">
        <v>785000</v>
      </c>
      <c r="I91" s="17">
        <v>1</v>
      </c>
      <c r="J91" s="9" t="str">
        <f t="shared" si="1"/>
        <v>Stok Terbatas</v>
      </c>
      <c r="K91" s="9" t="s">
        <v>33</v>
      </c>
      <c r="L91" s="9" t="s">
        <v>40</v>
      </c>
      <c r="M91" s="10"/>
    </row>
    <row r="92" spans="1:13">
      <c r="A92" s="20" t="s">
        <v>884</v>
      </c>
      <c r="B92" s="23">
        <v>3</v>
      </c>
      <c r="C92" s="26" t="s">
        <v>96</v>
      </c>
      <c r="D92" s="9" t="s">
        <v>107</v>
      </c>
      <c r="E92" s="9" t="s">
        <v>885</v>
      </c>
      <c r="F92" s="9"/>
      <c r="G92" s="9" t="s">
        <v>794</v>
      </c>
      <c r="H92" s="14">
        <v>785000</v>
      </c>
      <c r="I92" s="17">
        <v>1</v>
      </c>
      <c r="J92" s="9" t="str">
        <f t="shared" si="1"/>
        <v>Stok Terbatas</v>
      </c>
      <c r="K92" s="9" t="s">
        <v>33</v>
      </c>
      <c r="L92" s="9" t="s">
        <v>40</v>
      </c>
      <c r="M92" s="10"/>
    </row>
    <row r="93" spans="1:13">
      <c r="A93" s="20" t="s">
        <v>886</v>
      </c>
      <c r="B93" s="23">
        <v>3</v>
      </c>
      <c r="C93" s="26" t="s">
        <v>96</v>
      </c>
      <c r="D93" s="9" t="s">
        <v>107</v>
      </c>
      <c r="E93" s="9" t="s">
        <v>887</v>
      </c>
      <c r="F93" s="9"/>
      <c r="G93" s="9" t="s">
        <v>806</v>
      </c>
      <c r="H93" s="14">
        <v>785000</v>
      </c>
      <c r="I93" s="17">
        <v>2</v>
      </c>
      <c r="J93" s="9" t="str">
        <f t="shared" si="1"/>
        <v>Stok Terbatas</v>
      </c>
      <c r="K93" s="9" t="s">
        <v>33</v>
      </c>
      <c r="L93" s="9" t="s">
        <v>40</v>
      </c>
      <c r="M93" s="10"/>
    </row>
    <row r="94" spans="1:13">
      <c r="A94" s="20" t="s">
        <v>888</v>
      </c>
      <c r="B94" s="23">
        <v>3</v>
      </c>
      <c r="C94" s="26" t="s">
        <v>96</v>
      </c>
      <c r="D94" s="9" t="s">
        <v>111</v>
      </c>
      <c r="E94" s="9" t="s">
        <v>889</v>
      </c>
      <c r="F94" s="9"/>
      <c r="G94" s="9" t="s">
        <v>235</v>
      </c>
      <c r="H94" s="14">
        <v>879000</v>
      </c>
      <c r="I94" s="17">
        <v>1</v>
      </c>
      <c r="J94" s="9" t="str">
        <f t="shared" si="1"/>
        <v>Stok Terbatas</v>
      </c>
      <c r="K94" s="9" t="s">
        <v>33</v>
      </c>
      <c r="L94" s="9" t="s">
        <v>40</v>
      </c>
      <c r="M94" s="10"/>
    </row>
    <row r="95" spans="1:13">
      <c r="A95" s="20" t="s">
        <v>890</v>
      </c>
      <c r="B95" s="23">
        <v>3</v>
      </c>
      <c r="C95" s="26" t="s">
        <v>96</v>
      </c>
      <c r="D95" s="9" t="s">
        <v>111</v>
      </c>
      <c r="E95" s="9" t="s">
        <v>891</v>
      </c>
      <c r="F95" s="9"/>
      <c r="G95" s="9" t="s">
        <v>858</v>
      </c>
      <c r="H95" s="14">
        <v>879000</v>
      </c>
      <c r="I95" s="17">
        <v>1</v>
      </c>
      <c r="J95" s="9" t="str">
        <f t="shared" si="1"/>
        <v>Stok Terbatas</v>
      </c>
      <c r="K95" s="9" t="s">
        <v>33</v>
      </c>
      <c r="L95" s="9" t="s">
        <v>40</v>
      </c>
      <c r="M95" s="10"/>
    </row>
    <row r="96" spans="1:13">
      <c r="A96" s="20" t="s">
        <v>892</v>
      </c>
      <c r="B96" s="23">
        <v>3</v>
      </c>
      <c r="C96" s="26" t="s">
        <v>96</v>
      </c>
      <c r="D96" s="9" t="s">
        <v>111</v>
      </c>
      <c r="E96" s="9" t="s">
        <v>893</v>
      </c>
      <c r="F96" s="9"/>
      <c r="G96" s="9" t="s">
        <v>861</v>
      </c>
      <c r="H96" s="14">
        <v>949000</v>
      </c>
      <c r="I96" s="17">
        <v>1</v>
      </c>
      <c r="J96" s="9" t="str">
        <f t="shared" si="1"/>
        <v>Stok Terbatas</v>
      </c>
      <c r="K96" s="9" t="s">
        <v>33</v>
      </c>
      <c r="L96" s="9" t="s">
        <v>40</v>
      </c>
      <c r="M96" s="10"/>
    </row>
    <row r="97" spans="1:13">
      <c r="A97" s="20" t="s">
        <v>894</v>
      </c>
      <c r="B97" s="23">
        <v>3</v>
      </c>
      <c r="C97" s="26" t="s">
        <v>96</v>
      </c>
      <c r="D97" s="9" t="s">
        <v>185</v>
      </c>
      <c r="E97" s="9" t="s">
        <v>895</v>
      </c>
      <c r="F97" s="9" t="s">
        <v>188</v>
      </c>
      <c r="G97" s="9" t="s">
        <v>77</v>
      </c>
      <c r="H97" s="14">
        <v>525000</v>
      </c>
      <c r="I97" s="17">
        <v>2</v>
      </c>
      <c r="J97" s="9" t="str">
        <f t="shared" si="1"/>
        <v>Stok Terbatas</v>
      </c>
      <c r="K97" s="9" t="s">
        <v>48</v>
      </c>
      <c r="L97" s="9" t="s">
        <v>40</v>
      </c>
      <c r="M97" s="10"/>
    </row>
    <row r="98" spans="1:13">
      <c r="A98" s="20" t="s">
        <v>896</v>
      </c>
      <c r="B98" s="23">
        <v>3</v>
      </c>
      <c r="C98" s="26" t="s">
        <v>96</v>
      </c>
      <c r="D98" s="9" t="s">
        <v>123</v>
      </c>
      <c r="E98" s="9" t="s">
        <v>897</v>
      </c>
      <c r="F98" s="9"/>
      <c r="G98" s="9" t="s">
        <v>122</v>
      </c>
      <c r="H98" s="14">
        <v>549000</v>
      </c>
      <c r="I98" s="17">
        <v>1</v>
      </c>
      <c r="J98" s="9" t="str">
        <f t="shared" si="1"/>
        <v>Stok Terbatas</v>
      </c>
      <c r="K98" s="9" t="s">
        <v>121</v>
      </c>
      <c r="L98" s="9" t="s">
        <v>40</v>
      </c>
      <c r="M98" s="10"/>
    </row>
    <row r="99" spans="1:13">
      <c r="A99" s="20" t="s">
        <v>898</v>
      </c>
      <c r="B99" s="23">
        <v>3</v>
      </c>
      <c r="C99" s="26" t="s">
        <v>96</v>
      </c>
      <c r="D99" s="9" t="s">
        <v>189</v>
      </c>
      <c r="E99" s="9" t="s">
        <v>899</v>
      </c>
      <c r="F99" s="9"/>
      <c r="G99" s="9" t="s">
        <v>77</v>
      </c>
      <c r="H99" s="14">
        <v>799000</v>
      </c>
      <c r="I99" s="17">
        <v>2</v>
      </c>
      <c r="J99" s="9" t="str">
        <f t="shared" si="1"/>
        <v>Stok Terbatas</v>
      </c>
      <c r="K99" s="9" t="s">
        <v>48</v>
      </c>
      <c r="L99" s="9" t="s">
        <v>40</v>
      </c>
      <c r="M99" s="10"/>
    </row>
    <row r="100" spans="1:13">
      <c r="A100" s="20" t="s">
        <v>900</v>
      </c>
      <c r="B100" s="23">
        <v>3</v>
      </c>
      <c r="C100" s="26" t="s">
        <v>96</v>
      </c>
      <c r="D100" s="9" t="s">
        <v>189</v>
      </c>
      <c r="E100" s="9" t="s">
        <v>901</v>
      </c>
      <c r="F100" s="9"/>
      <c r="G100" s="9" t="s">
        <v>170</v>
      </c>
      <c r="H100" s="14">
        <v>799000</v>
      </c>
      <c r="I100" s="17">
        <v>2</v>
      </c>
      <c r="J100" s="9" t="str">
        <f t="shared" si="1"/>
        <v>Stok Terbatas</v>
      </c>
      <c r="K100" s="9" t="s">
        <v>48</v>
      </c>
      <c r="L100" s="9" t="s">
        <v>40</v>
      </c>
      <c r="M100" s="10"/>
    </row>
    <row r="101" spans="1:13">
      <c r="A101" s="20" t="s">
        <v>902</v>
      </c>
      <c r="B101" s="23">
        <v>3</v>
      </c>
      <c r="C101" s="26" t="s">
        <v>96</v>
      </c>
      <c r="D101" s="9" t="s">
        <v>192</v>
      </c>
      <c r="E101" s="9" t="s">
        <v>903</v>
      </c>
      <c r="F101" s="9"/>
      <c r="G101" s="9" t="s">
        <v>821</v>
      </c>
      <c r="H101" s="14">
        <v>389000</v>
      </c>
      <c r="I101" s="17">
        <v>1</v>
      </c>
      <c r="J101" s="9" t="str">
        <f t="shared" si="1"/>
        <v>Stok Terbatas</v>
      </c>
      <c r="K101" s="9" t="s">
        <v>48</v>
      </c>
      <c r="L101" s="9" t="s">
        <v>40</v>
      </c>
      <c r="M101" s="10"/>
    </row>
    <row r="102" spans="1:13">
      <c r="A102" s="20" t="s">
        <v>904</v>
      </c>
      <c r="B102" s="23">
        <v>3</v>
      </c>
      <c r="C102" s="26" t="s">
        <v>96</v>
      </c>
      <c r="D102" s="9" t="s">
        <v>192</v>
      </c>
      <c r="E102" s="9" t="s">
        <v>905</v>
      </c>
      <c r="F102" s="9"/>
      <c r="G102" s="9" t="s">
        <v>811</v>
      </c>
      <c r="H102" s="14">
        <v>389000</v>
      </c>
      <c r="I102" s="17">
        <v>1</v>
      </c>
      <c r="J102" s="9" t="str">
        <f t="shared" si="1"/>
        <v>Stok Terbatas</v>
      </c>
      <c r="K102" s="9" t="s">
        <v>48</v>
      </c>
      <c r="L102" s="9" t="s">
        <v>40</v>
      </c>
      <c r="M102" s="10"/>
    </row>
    <row r="103" spans="1:13">
      <c r="A103" s="20" t="s">
        <v>906</v>
      </c>
      <c r="B103" s="23">
        <v>3</v>
      </c>
      <c r="C103" s="26" t="s">
        <v>96</v>
      </c>
      <c r="D103" s="9" t="s">
        <v>192</v>
      </c>
      <c r="E103" s="9" t="s">
        <v>907</v>
      </c>
      <c r="F103" s="9"/>
      <c r="G103" s="9" t="s">
        <v>143</v>
      </c>
      <c r="H103" s="14">
        <v>389000</v>
      </c>
      <c r="I103" s="17">
        <v>2</v>
      </c>
      <c r="J103" s="9" t="str">
        <f t="shared" si="1"/>
        <v>Stok Terbatas</v>
      </c>
      <c r="K103" s="9" t="s">
        <v>48</v>
      </c>
      <c r="L103" s="9" t="s">
        <v>40</v>
      </c>
      <c r="M103" s="10"/>
    </row>
    <row r="104" spans="1:13">
      <c r="A104" s="20" t="s">
        <v>908</v>
      </c>
      <c r="B104" s="23">
        <v>3</v>
      </c>
      <c r="C104" s="26" t="s">
        <v>96</v>
      </c>
      <c r="D104" s="9" t="s">
        <v>192</v>
      </c>
      <c r="E104" s="9" t="s">
        <v>909</v>
      </c>
      <c r="F104" s="9"/>
      <c r="G104" s="9" t="s">
        <v>814</v>
      </c>
      <c r="H104" s="14">
        <v>389000</v>
      </c>
      <c r="I104" s="17">
        <v>1</v>
      </c>
      <c r="J104" s="9" t="str">
        <f t="shared" si="1"/>
        <v>Stok Terbatas</v>
      </c>
      <c r="K104" s="9" t="s">
        <v>48</v>
      </c>
      <c r="L104" s="9" t="s">
        <v>40</v>
      </c>
      <c r="M104" s="10"/>
    </row>
    <row r="105" spans="1:13">
      <c r="A105" s="20" t="s">
        <v>910</v>
      </c>
      <c r="B105" s="23">
        <v>3</v>
      </c>
      <c r="C105" s="26" t="s">
        <v>96</v>
      </c>
      <c r="D105" s="9" t="s">
        <v>192</v>
      </c>
      <c r="E105" s="9" t="s">
        <v>911</v>
      </c>
      <c r="F105" s="9"/>
      <c r="G105" s="9" t="s">
        <v>817</v>
      </c>
      <c r="H105" s="14">
        <v>389000</v>
      </c>
      <c r="I105" s="17">
        <v>1</v>
      </c>
      <c r="J105" s="9" t="str">
        <f t="shared" si="1"/>
        <v>Stok Terbatas</v>
      </c>
      <c r="K105" s="9" t="s">
        <v>48</v>
      </c>
      <c r="L105" s="9" t="s">
        <v>40</v>
      </c>
      <c r="M105" s="10"/>
    </row>
    <row r="106" spans="1:13">
      <c r="A106" s="20" t="s">
        <v>912</v>
      </c>
      <c r="B106" s="23">
        <v>3</v>
      </c>
      <c r="C106" s="26" t="s">
        <v>96</v>
      </c>
      <c r="D106" s="9" t="s">
        <v>196</v>
      </c>
      <c r="E106" s="9" t="s">
        <v>913</v>
      </c>
      <c r="F106" s="9"/>
      <c r="G106" s="9" t="s">
        <v>794</v>
      </c>
      <c r="H106" s="14">
        <v>399000</v>
      </c>
      <c r="I106" s="17">
        <v>1</v>
      </c>
      <c r="J106" s="9" t="str">
        <f t="shared" si="1"/>
        <v>Stok Terbatas</v>
      </c>
      <c r="K106" s="9" t="s">
        <v>48</v>
      </c>
      <c r="L106" s="9" t="s">
        <v>40</v>
      </c>
      <c r="M106" s="10"/>
    </row>
    <row r="107" spans="1:13">
      <c r="A107" s="20" t="s">
        <v>914</v>
      </c>
      <c r="B107" s="23">
        <v>3</v>
      </c>
      <c r="C107" s="26" t="s">
        <v>96</v>
      </c>
      <c r="D107" s="9" t="s">
        <v>196</v>
      </c>
      <c r="E107" s="9" t="s">
        <v>915</v>
      </c>
      <c r="F107" s="9"/>
      <c r="G107" s="9" t="s">
        <v>806</v>
      </c>
      <c r="H107" s="14">
        <v>399000</v>
      </c>
      <c r="I107" s="17">
        <v>1</v>
      </c>
      <c r="J107" s="9" t="str">
        <f t="shared" si="1"/>
        <v>Stok Terbatas</v>
      </c>
      <c r="K107" s="9" t="s">
        <v>48</v>
      </c>
      <c r="L107" s="9" t="s">
        <v>40</v>
      </c>
      <c r="M107" s="10"/>
    </row>
    <row r="108" spans="1:13">
      <c r="A108" s="20" t="s">
        <v>916</v>
      </c>
      <c r="B108" s="23">
        <v>3</v>
      </c>
      <c r="C108" s="26" t="s">
        <v>96</v>
      </c>
      <c r="D108" s="9" t="s">
        <v>126</v>
      </c>
      <c r="E108" s="9" t="s">
        <v>917</v>
      </c>
      <c r="F108" s="9" t="s">
        <v>246</v>
      </c>
      <c r="G108" s="9"/>
      <c r="H108" s="14">
        <v>325000</v>
      </c>
      <c r="I108" s="17">
        <v>1</v>
      </c>
      <c r="J108" s="9" t="str">
        <f t="shared" si="1"/>
        <v>Stok Terbatas</v>
      </c>
      <c r="K108" s="9" t="s">
        <v>121</v>
      </c>
      <c r="L108" s="9" t="s">
        <v>40</v>
      </c>
      <c r="M108" s="10"/>
    </row>
    <row r="109" spans="1:13">
      <c r="A109" s="20" t="s">
        <v>918</v>
      </c>
      <c r="B109" s="23">
        <v>3</v>
      </c>
      <c r="C109" s="26" t="s">
        <v>96</v>
      </c>
      <c r="D109" s="9" t="s">
        <v>126</v>
      </c>
      <c r="E109" s="9" t="s">
        <v>919</v>
      </c>
      <c r="F109" s="9" t="s">
        <v>920</v>
      </c>
      <c r="G109" s="9"/>
      <c r="H109" s="14">
        <v>325000</v>
      </c>
      <c r="I109" s="17">
        <v>1</v>
      </c>
      <c r="J109" s="9" t="str">
        <f t="shared" si="1"/>
        <v>Stok Terbatas</v>
      </c>
      <c r="K109" s="9" t="s">
        <v>121</v>
      </c>
      <c r="L109" s="9" t="s">
        <v>40</v>
      </c>
      <c r="M109" s="10"/>
    </row>
    <row r="110" spans="1:13">
      <c r="A110" s="20" t="s">
        <v>921</v>
      </c>
      <c r="B110" s="23">
        <v>3</v>
      </c>
      <c r="C110" s="26" t="s">
        <v>96</v>
      </c>
      <c r="D110" s="9" t="s">
        <v>135</v>
      </c>
      <c r="E110" s="9" t="s">
        <v>922</v>
      </c>
      <c r="F110" s="9"/>
      <c r="G110" s="9" t="s">
        <v>138</v>
      </c>
      <c r="H110" s="14">
        <v>849000</v>
      </c>
      <c r="I110" s="17">
        <v>2</v>
      </c>
      <c r="J110" s="9" t="str">
        <f t="shared" si="1"/>
        <v>Stok Terbatas</v>
      </c>
      <c r="K110" s="9" t="s">
        <v>133</v>
      </c>
      <c r="L110" s="9" t="s">
        <v>40</v>
      </c>
      <c r="M110" s="10"/>
    </row>
    <row r="111" spans="1:13">
      <c r="A111" s="20" t="s">
        <v>923</v>
      </c>
      <c r="B111" s="23">
        <v>3</v>
      </c>
      <c r="C111" s="26" t="s">
        <v>96</v>
      </c>
      <c r="D111" s="9" t="s">
        <v>115</v>
      </c>
      <c r="E111" s="9" t="s">
        <v>924</v>
      </c>
      <c r="F111" s="9"/>
      <c r="G111" s="9" t="s">
        <v>77</v>
      </c>
      <c r="H111" s="14">
        <v>975000</v>
      </c>
      <c r="I111" s="17">
        <v>1</v>
      </c>
      <c r="J111" s="9" t="str">
        <f t="shared" si="1"/>
        <v>Stok Terbatas</v>
      </c>
      <c r="K111" s="9" t="s">
        <v>33</v>
      </c>
      <c r="L111" s="9" t="s">
        <v>40</v>
      </c>
      <c r="M111" s="10"/>
    </row>
    <row r="112" spans="1:13">
      <c r="A112" s="20" t="s">
        <v>925</v>
      </c>
      <c r="B112" s="23">
        <v>3</v>
      </c>
      <c r="C112" s="26" t="s">
        <v>96</v>
      </c>
      <c r="D112" s="9" t="s">
        <v>200</v>
      </c>
      <c r="E112" s="9" t="s">
        <v>926</v>
      </c>
      <c r="F112" s="9"/>
      <c r="G112" s="9" t="s">
        <v>382</v>
      </c>
      <c r="H112" s="14">
        <v>489000</v>
      </c>
      <c r="I112" s="17">
        <v>2</v>
      </c>
      <c r="J112" s="9" t="str">
        <f t="shared" si="1"/>
        <v>Stok Terbatas</v>
      </c>
      <c r="K112" s="9" t="s">
        <v>48</v>
      </c>
      <c r="L112" s="9" t="s">
        <v>40</v>
      </c>
      <c r="M112" s="10"/>
    </row>
    <row r="113" spans="1:13">
      <c r="A113" s="20" t="s">
        <v>927</v>
      </c>
      <c r="B113" s="23">
        <v>3</v>
      </c>
      <c r="C113" s="26" t="s">
        <v>96</v>
      </c>
      <c r="D113" s="9" t="s">
        <v>200</v>
      </c>
      <c r="E113" s="9" t="s">
        <v>928</v>
      </c>
      <c r="F113" s="9"/>
      <c r="G113" s="9" t="s">
        <v>399</v>
      </c>
      <c r="H113" s="14">
        <v>489000</v>
      </c>
      <c r="I113" s="17">
        <v>2</v>
      </c>
      <c r="J113" s="9" t="str">
        <f t="shared" si="1"/>
        <v>Stok Terbatas</v>
      </c>
      <c r="K113" s="9" t="s">
        <v>48</v>
      </c>
      <c r="L113" s="9" t="s">
        <v>40</v>
      </c>
      <c r="M113" s="10"/>
    </row>
    <row r="114" spans="1:13">
      <c r="A114" s="20" t="s">
        <v>929</v>
      </c>
      <c r="B114" s="23">
        <v>3</v>
      </c>
      <c r="C114" s="26" t="s">
        <v>96</v>
      </c>
      <c r="D114" s="9" t="s">
        <v>204</v>
      </c>
      <c r="E114" s="9" t="s">
        <v>930</v>
      </c>
      <c r="F114" s="9"/>
      <c r="G114" s="9" t="s">
        <v>138</v>
      </c>
      <c r="H114" s="14">
        <v>399000</v>
      </c>
      <c r="I114" s="17">
        <v>4</v>
      </c>
      <c r="J114" s="9" t="str">
        <f t="shared" si="1"/>
        <v>Tersedia</v>
      </c>
      <c r="K114" s="9" t="s">
        <v>48</v>
      </c>
      <c r="L114" s="9" t="s">
        <v>40</v>
      </c>
      <c r="M114" s="10"/>
    </row>
    <row r="115" spans="1:13">
      <c r="A115" s="20" t="s">
        <v>931</v>
      </c>
      <c r="B115" s="23">
        <v>3</v>
      </c>
      <c r="C115" s="26" t="s">
        <v>96</v>
      </c>
      <c r="D115" s="9" t="s">
        <v>204</v>
      </c>
      <c r="E115" s="9" t="s">
        <v>932</v>
      </c>
      <c r="F115" s="9"/>
      <c r="G115" s="9" t="s">
        <v>618</v>
      </c>
      <c r="H115" s="14">
        <v>399000</v>
      </c>
      <c r="I115" s="17">
        <v>4</v>
      </c>
      <c r="J115" s="9" t="str">
        <f t="shared" si="1"/>
        <v>Tersedia</v>
      </c>
      <c r="K115" s="9" t="s">
        <v>48</v>
      </c>
      <c r="L115" s="9" t="s">
        <v>40</v>
      </c>
      <c r="M115" s="10"/>
    </row>
    <row r="116" spans="1:13">
      <c r="A116" s="20" t="s">
        <v>933</v>
      </c>
      <c r="B116" s="23">
        <v>3</v>
      </c>
      <c r="C116" s="26" t="s">
        <v>96</v>
      </c>
      <c r="D116" s="9" t="s">
        <v>204</v>
      </c>
      <c r="E116" s="9" t="s">
        <v>934</v>
      </c>
      <c r="F116" s="9"/>
      <c r="G116" s="9" t="s">
        <v>794</v>
      </c>
      <c r="H116" s="14">
        <v>399000</v>
      </c>
      <c r="I116" s="17">
        <v>4</v>
      </c>
      <c r="J116" s="9" t="str">
        <f t="shared" si="1"/>
        <v>Tersedia</v>
      </c>
      <c r="K116" s="9" t="s">
        <v>48</v>
      </c>
      <c r="L116" s="9" t="s">
        <v>40</v>
      </c>
      <c r="M116" s="10"/>
    </row>
    <row r="117" spans="1:13">
      <c r="A117" s="20" t="s">
        <v>935</v>
      </c>
      <c r="B117" s="23">
        <v>3</v>
      </c>
      <c r="C117" s="26" t="s">
        <v>96</v>
      </c>
      <c r="D117" s="9" t="s">
        <v>204</v>
      </c>
      <c r="E117" s="9" t="s">
        <v>936</v>
      </c>
      <c r="F117" s="9"/>
      <c r="G117" s="9" t="s">
        <v>806</v>
      </c>
      <c r="H117" s="14">
        <v>399000</v>
      </c>
      <c r="I117" s="17">
        <v>2</v>
      </c>
      <c r="J117" s="9" t="str">
        <f t="shared" si="1"/>
        <v>Stok Terbatas</v>
      </c>
      <c r="K117" s="9" t="s">
        <v>48</v>
      </c>
      <c r="L117" s="9" t="s">
        <v>40</v>
      </c>
      <c r="M117" s="10"/>
    </row>
    <row r="118" spans="1:13">
      <c r="A118" s="20" t="s">
        <v>937</v>
      </c>
      <c r="B118" s="23">
        <v>3</v>
      </c>
      <c r="C118" s="26" t="s">
        <v>96</v>
      </c>
      <c r="D118" s="9" t="s">
        <v>139</v>
      </c>
      <c r="E118" s="9" t="s">
        <v>938</v>
      </c>
      <c r="F118" s="9" t="s">
        <v>142</v>
      </c>
      <c r="G118" s="9" t="s">
        <v>143</v>
      </c>
      <c r="H118" s="14">
        <v>825000</v>
      </c>
      <c r="I118" s="17">
        <v>1</v>
      </c>
      <c r="J118" s="9" t="str">
        <f t="shared" si="1"/>
        <v>Stok Terbatas</v>
      </c>
      <c r="K118" s="9" t="s">
        <v>133</v>
      </c>
      <c r="L118" s="9" t="s">
        <v>40</v>
      </c>
      <c r="M118" s="10"/>
    </row>
    <row r="119" spans="1:13">
      <c r="A119" s="20" t="s">
        <v>939</v>
      </c>
      <c r="B119" s="23">
        <v>3</v>
      </c>
      <c r="C119" s="26" t="s">
        <v>96</v>
      </c>
      <c r="D119" s="9" t="s">
        <v>144</v>
      </c>
      <c r="E119" s="9" t="s">
        <v>940</v>
      </c>
      <c r="F119" s="9"/>
      <c r="G119" s="9" t="s">
        <v>147</v>
      </c>
      <c r="H119" s="14">
        <v>899000</v>
      </c>
      <c r="I119" s="17">
        <v>1</v>
      </c>
      <c r="J119" s="9" t="str">
        <f t="shared" si="1"/>
        <v>Stok Terbatas</v>
      </c>
      <c r="K119" s="9" t="s">
        <v>133</v>
      </c>
      <c r="L119" s="9" t="s">
        <v>40</v>
      </c>
      <c r="M119" s="10"/>
    </row>
    <row r="120" spans="1:13">
      <c r="A120" s="20" t="s">
        <v>941</v>
      </c>
      <c r="B120" s="23">
        <v>3</v>
      </c>
      <c r="C120" s="26" t="s">
        <v>96</v>
      </c>
      <c r="D120" s="9" t="s">
        <v>208</v>
      </c>
      <c r="E120" s="9" t="s">
        <v>942</v>
      </c>
      <c r="F120" s="9" t="s">
        <v>188</v>
      </c>
      <c r="G120" s="9"/>
      <c r="H120" s="14">
        <v>495000</v>
      </c>
      <c r="I120" s="17">
        <v>1</v>
      </c>
      <c r="J120" s="9" t="str">
        <f t="shared" si="1"/>
        <v>Stok Terbatas</v>
      </c>
      <c r="K120" s="9" t="s">
        <v>48</v>
      </c>
      <c r="L120" s="9" t="s">
        <v>40</v>
      </c>
      <c r="M120" s="10"/>
    </row>
    <row r="121" spans="1:13">
      <c r="A121" s="20" t="s">
        <v>943</v>
      </c>
      <c r="B121" s="23">
        <v>3</v>
      </c>
      <c r="C121" s="26" t="s">
        <v>96</v>
      </c>
      <c r="D121" s="9" t="s">
        <v>99</v>
      </c>
      <c r="E121" s="9" t="s">
        <v>944</v>
      </c>
      <c r="F121" s="9" t="s">
        <v>188</v>
      </c>
      <c r="G121" s="9" t="s">
        <v>77</v>
      </c>
      <c r="H121" s="14">
        <v>595000</v>
      </c>
      <c r="I121" s="17">
        <v>1</v>
      </c>
      <c r="J121" s="9" t="str">
        <f t="shared" si="1"/>
        <v>Stok Terbatas</v>
      </c>
      <c r="K121" s="9" t="s">
        <v>98</v>
      </c>
      <c r="L121" s="9" t="s">
        <v>40</v>
      </c>
      <c r="M121" s="10"/>
    </row>
    <row r="122" spans="1:13">
      <c r="A122" s="20" t="s">
        <v>945</v>
      </c>
      <c r="B122" s="23">
        <v>3</v>
      </c>
      <c r="C122" s="26" t="s">
        <v>96</v>
      </c>
      <c r="D122" s="9" t="s">
        <v>99</v>
      </c>
      <c r="E122" s="9" t="s">
        <v>946</v>
      </c>
      <c r="F122" s="9" t="s">
        <v>588</v>
      </c>
      <c r="G122" s="9" t="s">
        <v>77</v>
      </c>
      <c r="H122" s="14">
        <v>595000</v>
      </c>
      <c r="I122" s="17">
        <v>1</v>
      </c>
      <c r="J122" s="9" t="str">
        <f t="shared" si="1"/>
        <v>Stok Terbatas</v>
      </c>
      <c r="K122" s="9" t="s">
        <v>98</v>
      </c>
      <c r="L122" s="9" t="s">
        <v>40</v>
      </c>
      <c r="M122" s="10"/>
    </row>
    <row r="123" spans="1:13">
      <c r="A123" s="20" t="s">
        <v>947</v>
      </c>
      <c r="B123" s="23">
        <v>4</v>
      </c>
      <c r="C123" s="26" t="s">
        <v>213</v>
      </c>
      <c r="D123" s="9" t="s">
        <v>258</v>
      </c>
      <c r="E123" s="9" t="s">
        <v>948</v>
      </c>
      <c r="F123" s="9"/>
      <c r="G123" s="9" t="s">
        <v>147</v>
      </c>
      <c r="H123" s="14">
        <v>169900</v>
      </c>
      <c r="I123" s="17">
        <v>1</v>
      </c>
      <c r="J123" s="9" t="str">
        <f t="shared" si="1"/>
        <v>Stok Terbatas</v>
      </c>
      <c r="K123" s="9" t="s">
        <v>48</v>
      </c>
      <c r="L123" s="9" t="s">
        <v>40</v>
      </c>
      <c r="M123" s="10"/>
    </row>
    <row r="124" spans="1:13">
      <c r="A124" s="20" t="s">
        <v>949</v>
      </c>
      <c r="B124" s="23">
        <v>4</v>
      </c>
      <c r="C124" s="26" t="s">
        <v>213</v>
      </c>
      <c r="D124" s="9" t="s">
        <v>258</v>
      </c>
      <c r="E124" s="9" t="s">
        <v>950</v>
      </c>
      <c r="F124" s="9"/>
      <c r="G124" s="9" t="s">
        <v>858</v>
      </c>
      <c r="H124" s="14">
        <v>169900</v>
      </c>
      <c r="I124" s="17">
        <v>1</v>
      </c>
      <c r="J124" s="9" t="str">
        <f t="shared" si="1"/>
        <v>Stok Terbatas</v>
      </c>
      <c r="K124" s="9" t="s">
        <v>48</v>
      </c>
      <c r="L124" s="9" t="s">
        <v>40</v>
      </c>
      <c r="M124" s="10"/>
    </row>
    <row r="125" spans="1:13">
      <c r="A125" s="20" t="s">
        <v>951</v>
      </c>
      <c r="B125" s="23">
        <v>4</v>
      </c>
      <c r="C125" s="26" t="s">
        <v>213</v>
      </c>
      <c r="D125" s="9" t="s">
        <v>221</v>
      </c>
      <c r="E125" s="9" t="s">
        <v>952</v>
      </c>
      <c r="F125" s="9"/>
      <c r="G125" s="9" t="s">
        <v>235</v>
      </c>
      <c r="H125" s="14">
        <v>209900</v>
      </c>
      <c r="I125" s="17">
        <v>1</v>
      </c>
      <c r="J125" s="9" t="str">
        <f t="shared" si="1"/>
        <v>Stok Terbatas</v>
      </c>
      <c r="K125" s="9" t="s">
        <v>33</v>
      </c>
      <c r="L125" s="9" t="s">
        <v>40</v>
      </c>
      <c r="M125" s="10"/>
    </row>
    <row r="126" spans="1:13">
      <c r="A126" s="20" t="s">
        <v>953</v>
      </c>
      <c r="B126" s="23">
        <v>4</v>
      </c>
      <c r="C126" s="26" t="s">
        <v>213</v>
      </c>
      <c r="D126" s="9" t="s">
        <v>221</v>
      </c>
      <c r="E126" s="9" t="s">
        <v>954</v>
      </c>
      <c r="F126" s="9"/>
      <c r="G126" s="9" t="s">
        <v>147</v>
      </c>
      <c r="H126" s="14">
        <v>209900</v>
      </c>
      <c r="I126" s="17">
        <v>2</v>
      </c>
      <c r="J126" s="9" t="str">
        <f t="shared" si="1"/>
        <v>Stok Terbatas</v>
      </c>
      <c r="K126" s="9" t="s">
        <v>33</v>
      </c>
      <c r="L126" s="9" t="s">
        <v>40</v>
      </c>
      <c r="M126" s="10"/>
    </row>
    <row r="127" spans="1:13">
      <c r="A127" s="20" t="s">
        <v>955</v>
      </c>
      <c r="B127" s="23">
        <v>4</v>
      </c>
      <c r="C127" s="26" t="s">
        <v>213</v>
      </c>
      <c r="D127" s="9" t="s">
        <v>253</v>
      </c>
      <c r="E127" s="9" t="s">
        <v>956</v>
      </c>
      <c r="F127" s="9" t="s">
        <v>256</v>
      </c>
      <c r="G127" s="9" t="s">
        <v>257</v>
      </c>
      <c r="H127" s="14">
        <v>399900</v>
      </c>
      <c r="I127" s="17">
        <v>1</v>
      </c>
      <c r="J127" s="9" t="str">
        <f t="shared" si="1"/>
        <v>Stok Terbatas</v>
      </c>
      <c r="K127" s="9" t="s">
        <v>88</v>
      </c>
      <c r="L127" s="9" t="s">
        <v>40</v>
      </c>
      <c r="M127" s="10"/>
    </row>
    <row r="128" spans="1:13">
      <c r="A128" s="20" t="s">
        <v>957</v>
      </c>
      <c r="B128" s="23">
        <v>4</v>
      </c>
      <c r="C128" s="26" t="s">
        <v>213</v>
      </c>
      <c r="D128" s="9" t="s">
        <v>236</v>
      </c>
      <c r="E128" s="9" t="s">
        <v>238</v>
      </c>
      <c r="F128" s="9"/>
      <c r="G128" s="9"/>
      <c r="H128" s="14">
        <v>235000</v>
      </c>
      <c r="I128" s="17">
        <v>1</v>
      </c>
      <c r="J128" s="9" t="str">
        <f t="shared" si="1"/>
        <v>Stok Terbatas</v>
      </c>
      <c r="K128" s="9" t="s">
        <v>239</v>
      </c>
      <c r="L128" s="9" t="s">
        <v>40</v>
      </c>
      <c r="M128" s="10"/>
    </row>
    <row r="129" spans="1:13">
      <c r="A129" s="20" t="s">
        <v>958</v>
      </c>
      <c r="B129" s="23">
        <v>4</v>
      </c>
      <c r="C129" s="26" t="s">
        <v>213</v>
      </c>
      <c r="D129" s="9" t="s">
        <v>285</v>
      </c>
      <c r="E129" s="9" t="s">
        <v>287</v>
      </c>
      <c r="F129" s="9"/>
      <c r="G129" s="9"/>
      <c r="H129" s="14">
        <v>489600</v>
      </c>
      <c r="I129" s="17">
        <v>1</v>
      </c>
      <c r="J129" s="9" t="str">
        <f t="shared" si="1"/>
        <v>Stok Terbatas</v>
      </c>
      <c r="K129" s="9" t="s">
        <v>288</v>
      </c>
      <c r="L129" s="9" t="s">
        <v>40</v>
      </c>
      <c r="M129" s="10"/>
    </row>
    <row r="130" spans="1:13">
      <c r="A130" s="20" t="s">
        <v>959</v>
      </c>
      <c r="B130" s="23">
        <v>4</v>
      </c>
      <c r="C130" s="26" t="s">
        <v>213</v>
      </c>
      <c r="D130" s="9" t="s">
        <v>289</v>
      </c>
      <c r="E130" s="9" t="s">
        <v>960</v>
      </c>
      <c r="F130" s="9"/>
      <c r="G130" s="9" t="s">
        <v>292</v>
      </c>
      <c r="H130" s="14">
        <v>350400</v>
      </c>
      <c r="I130" s="17">
        <v>1</v>
      </c>
      <c r="J130" s="9" t="str">
        <f t="shared" ref="J130:J193" si="2">IF(I130&lt;=0,"Habis",IF(I130&lt;=2,"Stok Terbatas","Tersedia"))</f>
        <v>Stok Terbatas</v>
      </c>
      <c r="K130" s="9" t="s">
        <v>288</v>
      </c>
      <c r="L130" s="9" t="s">
        <v>40</v>
      </c>
      <c r="M130" s="10"/>
    </row>
    <row r="131" spans="1:13">
      <c r="A131" s="20" t="s">
        <v>961</v>
      </c>
      <c r="B131" s="23">
        <v>4</v>
      </c>
      <c r="C131" s="26" t="s">
        <v>213</v>
      </c>
      <c r="D131" s="9" t="s">
        <v>293</v>
      </c>
      <c r="E131" s="9" t="s">
        <v>962</v>
      </c>
      <c r="F131" s="9"/>
      <c r="G131" s="9" t="s">
        <v>292</v>
      </c>
      <c r="H131" s="14">
        <v>350400</v>
      </c>
      <c r="I131" s="17">
        <v>2</v>
      </c>
      <c r="J131" s="9" t="str">
        <f t="shared" si="2"/>
        <v>Stok Terbatas</v>
      </c>
      <c r="K131" s="9" t="s">
        <v>288</v>
      </c>
      <c r="L131" s="9" t="s">
        <v>40</v>
      </c>
      <c r="M131" s="10"/>
    </row>
    <row r="132" spans="1:13">
      <c r="A132" s="20" t="s">
        <v>963</v>
      </c>
      <c r="B132" s="23">
        <v>4</v>
      </c>
      <c r="C132" s="26" t="s">
        <v>213</v>
      </c>
      <c r="D132" s="9" t="s">
        <v>296</v>
      </c>
      <c r="E132" s="9" t="s">
        <v>964</v>
      </c>
      <c r="F132" s="9"/>
      <c r="G132" s="9" t="s">
        <v>299</v>
      </c>
      <c r="H132" s="14">
        <v>350400</v>
      </c>
      <c r="I132" s="17">
        <v>1</v>
      </c>
      <c r="J132" s="9" t="str">
        <f t="shared" si="2"/>
        <v>Stok Terbatas</v>
      </c>
      <c r="K132" s="9" t="s">
        <v>288</v>
      </c>
      <c r="L132" s="9" t="s">
        <v>40</v>
      </c>
      <c r="M132" s="10"/>
    </row>
    <row r="133" spans="1:13">
      <c r="A133" s="20" t="s">
        <v>965</v>
      </c>
      <c r="B133" s="23">
        <v>4</v>
      </c>
      <c r="C133" s="26" t="s">
        <v>213</v>
      </c>
      <c r="D133" s="9" t="s">
        <v>211</v>
      </c>
      <c r="E133" s="9" t="s">
        <v>966</v>
      </c>
      <c r="F133" s="9"/>
      <c r="G133" s="9" t="s">
        <v>77</v>
      </c>
      <c r="H133" s="14">
        <v>300000</v>
      </c>
      <c r="I133" s="17">
        <v>1</v>
      </c>
      <c r="J133" s="9" t="str">
        <f t="shared" si="2"/>
        <v>Stok Terbatas</v>
      </c>
      <c r="K133" s="9" t="s">
        <v>98</v>
      </c>
      <c r="L133" s="9" t="s">
        <v>40</v>
      </c>
      <c r="M133" s="10"/>
    </row>
    <row r="134" spans="1:13">
      <c r="A134" s="20" t="s">
        <v>967</v>
      </c>
      <c r="B134" s="23">
        <v>4</v>
      </c>
      <c r="C134" s="26" t="s">
        <v>213</v>
      </c>
      <c r="D134" s="9" t="s">
        <v>262</v>
      </c>
      <c r="E134" s="9" t="s">
        <v>968</v>
      </c>
      <c r="F134" s="9"/>
      <c r="G134" s="9" t="s">
        <v>969</v>
      </c>
      <c r="H134" s="14">
        <v>305500</v>
      </c>
      <c r="I134" s="17">
        <v>1</v>
      </c>
      <c r="J134" s="9" t="str">
        <f t="shared" si="2"/>
        <v>Stok Terbatas</v>
      </c>
      <c r="K134" s="9" t="s">
        <v>48</v>
      </c>
      <c r="L134" s="9" t="s">
        <v>40</v>
      </c>
      <c r="M134" s="10"/>
    </row>
    <row r="135" spans="1:13">
      <c r="A135" s="20" t="s">
        <v>970</v>
      </c>
      <c r="B135" s="23">
        <v>4</v>
      </c>
      <c r="C135" s="26" t="s">
        <v>213</v>
      </c>
      <c r="D135" s="9" t="s">
        <v>262</v>
      </c>
      <c r="E135" s="9" t="s">
        <v>971</v>
      </c>
      <c r="F135" s="9"/>
      <c r="G135" s="9" t="s">
        <v>972</v>
      </c>
      <c r="H135" s="14">
        <v>305500</v>
      </c>
      <c r="I135" s="17">
        <v>2</v>
      </c>
      <c r="J135" s="9" t="str">
        <f t="shared" si="2"/>
        <v>Stok Terbatas</v>
      </c>
      <c r="K135" s="9" t="s">
        <v>48</v>
      </c>
      <c r="L135" s="9" t="s">
        <v>40</v>
      </c>
      <c r="M135" s="10"/>
    </row>
    <row r="136" spans="1:13">
      <c r="A136" s="20" t="s">
        <v>973</v>
      </c>
      <c r="B136" s="23">
        <v>4</v>
      </c>
      <c r="C136" s="26" t="s">
        <v>213</v>
      </c>
      <c r="D136" s="9" t="s">
        <v>262</v>
      </c>
      <c r="E136" s="9" t="s">
        <v>974</v>
      </c>
      <c r="F136" s="9"/>
      <c r="G136" s="9" t="s">
        <v>975</v>
      </c>
      <c r="H136" s="14">
        <v>305500</v>
      </c>
      <c r="I136" s="17">
        <v>2</v>
      </c>
      <c r="J136" s="9" t="str">
        <f t="shared" si="2"/>
        <v>Stok Terbatas</v>
      </c>
      <c r="K136" s="9" t="s">
        <v>48</v>
      </c>
      <c r="L136" s="9" t="s">
        <v>40</v>
      </c>
      <c r="M136" s="10"/>
    </row>
    <row r="137" spans="1:13">
      <c r="A137" s="20" t="s">
        <v>976</v>
      </c>
      <c r="B137" s="23">
        <v>4</v>
      </c>
      <c r="C137" s="26" t="s">
        <v>213</v>
      </c>
      <c r="D137" s="9" t="s">
        <v>319</v>
      </c>
      <c r="E137" s="9" t="s">
        <v>977</v>
      </c>
      <c r="F137" s="9"/>
      <c r="G137" s="9" t="s">
        <v>323</v>
      </c>
      <c r="H137" s="14">
        <v>343000</v>
      </c>
      <c r="I137" s="17">
        <v>1</v>
      </c>
      <c r="J137" s="9" t="str">
        <f t="shared" si="2"/>
        <v>Stok Terbatas</v>
      </c>
      <c r="K137" s="9" t="s">
        <v>322</v>
      </c>
      <c r="L137" s="9" t="s">
        <v>40</v>
      </c>
      <c r="M137" s="10"/>
    </row>
    <row r="138" spans="1:13">
      <c r="A138" s="20" t="s">
        <v>978</v>
      </c>
      <c r="B138" s="23">
        <v>4</v>
      </c>
      <c r="C138" s="26" t="s">
        <v>213</v>
      </c>
      <c r="D138" s="9" t="s">
        <v>300</v>
      </c>
      <c r="E138" s="9" t="s">
        <v>979</v>
      </c>
      <c r="F138" s="9"/>
      <c r="G138" s="9" t="s">
        <v>299</v>
      </c>
      <c r="H138" s="14">
        <v>350400</v>
      </c>
      <c r="I138" s="17">
        <v>2</v>
      </c>
      <c r="J138" s="9" t="str">
        <f t="shared" si="2"/>
        <v>Stok Terbatas</v>
      </c>
      <c r="K138" s="9" t="s">
        <v>288</v>
      </c>
      <c r="L138" s="9" t="s">
        <v>40</v>
      </c>
      <c r="M138" s="10"/>
    </row>
    <row r="139" spans="1:13">
      <c r="A139" s="20" t="s">
        <v>980</v>
      </c>
      <c r="B139" s="23">
        <v>4</v>
      </c>
      <c r="C139" s="26" t="s">
        <v>213</v>
      </c>
      <c r="D139" s="9" t="s">
        <v>303</v>
      </c>
      <c r="E139" s="9" t="s">
        <v>981</v>
      </c>
      <c r="F139" s="9"/>
      <c r="G139" s="9" t="s">
        <v>292</v>
      </c>
      <c r="H139" s="14">
        <v>350400</v>
      </c>
      <c r="I139" s="17">
        <v>1</v>
      </c>
      <c r="J139" s="9" t="str">
        <f t="shared" si="2"/>
        <v>Stok Terbatas</v>
      </c>
      <c r="K139" s="9" t="s">
        <v>288</v>
      </c>
      <c r="L139" s="9" t="s">
        <v>40</v>
      </c>
      <c r="M139" s="10"/>
    </row>
    <row r="140" spans="1:13">
      <c r="A140" s="20" t="s">
        <v>982</v>
      </c>
      <c r="B140" s="23">
        <v>4</v>
      </c>
      <c r="C140" s="26" t="s">
        <v>213</v>
      </c>
      <c r="D140" s="9" t="s">
        <v>324</v>
      </c>
      <c r="E140" s="9" t="s">
        <v>326</v>
      </c>
      <c r="F140" s="9"/>
      <c r="G140" s="9"/>
      <c r="H140" s="14">
        <v>437800</v>
      </c>
      <c r="I140" s="17">
        <v>2</v>
      </c>
      <c r="J140" s="9" t="str">
        <f t="shared" si="2"/>
        <v>Stok Terbatas</v>
      </c>
      <c r="K140" s="9" t="s">
        <v>322</v>
      </c>
      <c r="L140" s="9" t="s">
        <v>40</v>
      </c>
      <c r="M140" s="10"/>
    </row>
    <row r="141" spans="1:13">
      <c r="A141" s="20" t="s">
        <v>983</v>
      </c>
      <c r="B141" s="23">
        <v>4</v>
      </c>
      <c r="C141" s="26" t="s">
        <v>213</v>
      </c>
      <c r="D141" s="9" t="s">
        <v>215</v>
      </c>
      <c r="E141" s="9" t="s">
        <v>984</v>
      </c>
      <c r="F141" s="9"/>
      <c r="G141" s="9" t="s">
        <v>77</v>
      </c>
      <c r="H141" s="14">
        <v>300000</v>
      </c>
      <c r="I141" s="17">
        <v>2</v>
      </c>
      <c r="J141" s="9" t="str">
        <f t="shared" si="2"/>
        <v>Stok Terbatas</v>
      </c>
      <c r="K141" s="9" t="s">
        <v>98</v>
      </c>
      <c r="L141" s="9" t="s">
        <v>40</v>
      </c>
      <c r="M141" s="10"/>
    </row>
    <row r="142" spans="1:13">
      <c r="A142" s="20" t="s">
        <v>985</v>
      </c>
      <c r="B142" s="23">
        <v>4</v>
      </c>
      <c r="C142" s="26" t="s">
        <v>213</v>
      </c>
      <c r="D142" s="9" t="s">
        <v>215</v>
      </c>
      <c r="E142" s="9" t="s">
        <v>986</v>
      </c>
      <c r="F142" s="9"/>
      <c r="G142" s="9" t="s">
        <v>170</v>
      </c>
      <c r="H142" s="14">
        <v>300000</v>
      </c>
      <c r="I142" s="17">
        <v>1</v>
      </c>
      <c r="J142" s="9" t="str">
        <f t="shared" si="2"/>
        <v>Stok Terbatas</v>
      </c>
      <c r="K142" s="9" t="s">
        <v>98</v>
      </c>
      <c r="L142" s="9" t="s">
        <v>40</v>
      </c>
      <c r="M142" s="10"/>
    </row>
    <row r="143" spans="1:13">
      <c r="A143" s="20" t="s">
        <v>987</v>
      </c>
      <c r="B143" s="23">
        <v>4</v>
      </c>
      <c r="C143" s="26" t="s">
        <v>213</v>
      </c>
      <c r="D143" s="9" t="s">
        <v>266</v>
      </c>
      <c r="E143" s="9" t="s">
        <v>988</v>
      </c>
      <c r="F143" s="9"/>
      <c r="G143" s="9" t="s">
        <v>147</v>
      </c>
      <c r="H143" s="14">
        <v>305500</v>
      </c>
      <c r="I143" s="17">
        <v>1</v>
      </c>
      <c r="J143" s="9" t="str">
        <f t="shared" si="2"/>
        <v>Stok Terbatas</v>
      </c>
      <c r="K143" s="9" t="s">
        <v>48</v>
      </c>
      <c r="L143" s="9" t="s">
        <v>40</v>
      </c>
      <c r="M143" s="10"/>
    </row>
    <row r="144" spans="1:13">
      <c r="A144" s="20" t="s">
        <v>989</v>
      </c>
      <c r="B144" s="23">
        <v>4</v>
      </c>
      <c r="C144" s="26" t="s">
        <v>213</v>
      </c>
      <c r="D144" s="9" t="s">
        <v>269</v>
      </c>
      <c r="E144" s="9" t="s">
        <v>990</v>
      </c>
      <c r="F144" s="9"/>
      <c r="G144" s="9" t="s">
        <v>969</v>
      </c>
      <c r="H144" s="14">
        <v>305500</v>
      </c>
      <c r="I144" s="17">
        <v>1</v>
      </c>
      <c r="J144" s="9" t="str">
        <f t="shared" si="2"/>
        <v>Stok Terbatas</v>
      </c>
      <c r="K144" s="9" t="s">
        <v>48</v>
      </c>
      <c r="L144" s="9" t="s">
        <v>40</v>
      </c>
      <c r="M144" s="10"/>
    </row>
    <row r="145" spans="1:13">
      <c r="A145" s="20" t="s">
        <v>991</v>
      </c>
      <c r="B145" s="23">
        <v>4</v>
      </c>
      <c r="C145" s="26" t="s">
        <v>213</v>
      </c>
      <c r="D145" s="9" t="s">
        <v>269</v>
      </c>
      <c r="E145" s="9" t="s">
        <v>992</v>
      </c>
      <c r="F145" s="9"/>
      <c r="G145" s="9" t="s">
        <v>972</v>
      </c>
      <c r="H145" s="14">
        <v>305500</v>
      </c>
      <c r="I145" s="17">
        <v>2</v>
      </c>
      <c r="J145" s="9" t="str">
        <f t="shared" si="2"/>
        <v>Stok Terbatas</v>
      </c>
      <c r="K145" s="9" t="s">
        <v>48</v>
      </c>
      <c r="L145" s="9" t="s">
        <v>40</v>
      </c>
      <c r="M145" s="10"/>
    </row>
    <row r="146" spans="1:13">
      <c r="A146" s="20" t="s">
        <v>993</v>
      </c>
      <c r="B146" s="23">
        <v>4</v>
      </c>
      <c r="C146" s="26" t="s">
        <v>213</v>
      </c>
      <c r="D146" s="9" t="s">
        <v>269</v>
      </c>
      <c r="E146" s="9" t="s">
        <v>994</v>
      </c>
      <c r="F146" s="9"/>
      <c r="G146" s="9" t="s">
        <v>975</v>
      </c>
      <c r="H146" s="14">
        <v>305500</v>
      </c>
      <c r="I146" s="17">
        <v>2</v>
      </c>
      <c r="J146" s="9" t="str">
        <f t="shared" si="2"/>
        <v>Stok Terbatas</v>
      </c>
      <c r="K146" s="9" t="s">
        <v>48</v>
      </c>
      <c r="L146" s="9" t="s">
        <v>40</v>
      </c>
      <c r="M146" s="10"/>
    </row>
    <row r="147" spans="1:13">
      <c r="A147" s="20" t="s">
        <v>995</v>
      </c>
      <c r="B147" s="23">
        <v>4</v>
      </c>
      <c r="C147" s="26" t="s">
        <v>213</v>
      </c>
      <c r="D147" s="9" t="s">
        <v>225</v>
      </c>
      <c r="E147" s="9" t="s">
        <v>227</v>
      </c>
      <c r="F147" s="9"/>
      <c r="G147" s="9"/>
      <c r="H147" s="14">
        <v>559900</v>
      </c>
      <c r="I147" s="17">
        <v>1</v>
      </c>
      <c r="J147" s="9" t="str">
        <f t="shared" si="2"/>
        <v>Stok Terbatas</v>
      </c>
      <c r="K147" s="9" t="s">
        <v>33</v>
      </c>
      <c r="L147" s="9" t="s">
        <v>40</v>
      </c>
      <c r="M147" s="10"/>
    </row>
    <row r="148" spans="1:13">
      <c r="A148" s="20" t="s">
        <v>996</v>
      </c>
      <c r="B148" s="23">
        <v>4</v>
      </c>
      <c r="C148" s="26" t="s">
        <v>213</v>
      </c>
      <c r="D148" s="9" t="s">
        <v>327</v>
      </c>
      <c r="E148" s="9" t="s">
        <v>329</v>
      </c>
      <c r="F148" s="9"/>
      <c r="G148" s="9"/>
      <c r="H148" s="14">
        <v>409900</v>
      </c>
      <c r="I148" s="17">
        <v>3</v>
      </c>
      <c r="J148" s="9" t="str">
        <f t="shared" si="2"/>
        <v>Tersedia</v>
      </c>
      <c r="K148" s="9" t="s">
        <v>322</v>
      </c>
      <c r="L148" s="9" t="s">
        <v>40</v>
      </c>
      <c r="M148" s="10"/>
    </row>
    <row r="149" spans="1:13">
      <c r="A149" s="20" t="s">
        <v>997</v>
      </c>
      <c r="B149" s="23">
        <v>4</v>
      </c>
      <c r="C149" s="26" t="s">
        <v>213</v>
      </c>
      <c r="D149" s="9" t="s">
        <v>218</v>
      </c>
      <c r="E149" s="9" t="s">
        <v>220</v>
      </c>
      <c r="F149" s="9"/>
      <c r="G149" s="9"/>
      <c r="H149" s="14">
        <v>416000</v>
      </c>
      <c r="I149" s="17">
        <v>2</v>
      </c>
      <c r="J149" s="9" t="str">
        <f t="shared" si="2"/>
        <v>Stok Terbatas</v>
      </c>
      <c r="K149" s="9" t="s">
        <v>98</v>
      </c>
      <c r="L149" s="9" t="s">
        <v>40</v>
      </c>
      <c r="M149" s="10"/>
    </row>
    <row r="150" spans="1:13">
      <c r="A150" s="20" t="s">
        <v>998</v>
      </c>
      <c r="B150" s="23">
        <v>4</v>
      </c>
      <c r="C150" s="26" t="s">
        <v>213</v>
      </c>
      <c r="D150" s="9" t="s">
        <v>240</v>
      </c>
      <c r="E150" s="9" t="s">
        <v>242</v>
      </c>
      <c r="F150" s="9"/>
      <c r="G150" s="9"/>
      <c r="H150" s="14">
        <v>258500</v>
      </c>
      <c r="I150" s="17">
        <v>1</v>
      </c>
      <c r="J150" s="9" t="str">
        <f t="shared" si="2"/>
        <v>Stok Terbatas</v>
      </c>
      <c r="K150" s="9" t="s">
        <v>239</v>
      </c>
      <c r="L150" s="9" t="s">
        <v>40</v>
      </c>
      <c r="M150" s="10"/>
    </row>
    <row r="151" spans="1:13">
      <c r="A151" s="20" t="s">
        <v>999</v>
      </c>
      <c r="B151" s="23">
        <v>4</v>
      </c>
      <c r="C151" s="26" t="s">
        <v>213</v>
      </c>
      <c r="D151" s="9" t="s">
        <v>330</v>
      </c>
      <c r="E151" s="9" t="s">
        <v>332</v>
      </c>
      <c r="F151" s="9"/>
      <c r="G151" s="9"/>
      <c r="H151" s="14">
        <v>437800</v>
      </c>
      <c r="I151" s="17">
        <v>1</v>
      </c>
      <c r="J151" s="9" t="str">
        <f t="shared" si="2"/>
        <v>Stok Terbatas</v>
      </c>
      <c r="K151" s="9" t="s">
        <v>322</v>
      </c>
      <c r="L151" s="9" t="s">
        <v>40</v>
      </c>
      <c r="M151" s="10"/>
    </row>
    <row r="152" spans="1:13">
      <c r="A152" s="20" t="s">
        <v>1000</v>
      </c>
      <c r="B152" s="23">
        <v>4</v>
      </c>
      <c r="C152" s="26" t="s">
        <v>213</v>
      </c>
      <c r="D152" s="9" t="s">
        <v>306</v>
      </c>
      <c r="E152" s="9" t="s">
        <v>308</v>
      </c>
      <c r="F152" s="9"/>
      <c r="G152" s="9"/>
      <c r="H152" s="14">
        <v>449900</v>
      </c>
      <c r="I152" s="17">
        <v>1</v>
      </c>
      <c r="J152" s="9" t="str">
        <f t="shared" si="2"/>
        <v>Stok Terbatas</v>
      </c>
      <c r="K152" s="9" t="s">
        <v>288</v>
      </c>
      <c r="L152" s="9" t="s">
        <v>40</v>
      </c>
      <c r="M152" s="10"/>
    </row>
    <row r="153" spans="1:13">
      <c r="A153" s="20" t="s">
        <v>1001</v>
      </c>
      <c r="B153" s="23">
        <v>4</v>
      </c>
      <c r="C153" s="26" t="s">
        <v>213</v>
      </c>
      <c r="D153" s="9" t="s">
        <v>281</v>
      </c>
      <c r="E153" s="9" t="s">
        <v>283</v>
      </c>
      <c r="F153" s="9"/>
      <c r="G153" s="9"/>
      <c r="H153" s="14">
        <v>249900</v>
      </c>
      <c r="I153" s="17">
        <v>1</v>
      </c>
      <c r="J153" s="9" t="str">
        <f t="shared" si="2"/>
        <v>Stok Terbatas</v>
      </c>
      <c r="K153" s="9" t="s">
        <v>284</v>
      </c>
      <c r="L153" s="9" t="s">
        <v>40</v>
      </c>
      <c r="M153" s="10"/>
    </row>
    <row r="154" spans="1:13">
      <c r="A154" s="20" t="s">
        <v>1002</v>
      </c>
      <c r="B154" s="23">
        <v>4</v>
      </c>
      <c r="C154" s="26" t="s">
        <v>213</v>
      </c>
      <c r="D154" s="9" t="s">
        <v>272</v>
      </c>
      <c r="E154" s="9" t="s">
        <v>274</v>
      </c>
      <c r="F154" s="9"/>
      <c r="G154" s="9"/>
      <c r="H154" s="14">
        <v>413885</v>
      </c>
      <c r="I154" s="17">
        <v>1</v>
      </c>
      <c r="J154" s="9" t="str">
        <f t="shared" si="2"/>
        <v>Stok Terbatas</v>
      </c>
      <c r="K154" s="9" t="s">
        <v>48</v>
      </c>
      <c r="L154" s="9" t="s">
        <v>40</v>
      </c>
      <c r="M154" s="10"/>
    </row>
    <row r="155" spans="1:13">
      <c r="A155" s="20" t="s">
        <v>1003</v>
      </c>
      <c r="B155" s="23">
        <v>4</v>
      </c>
      <c r="C155" s="26" t="s">
        <v>213</v>
      </c>
      <c r="D155" s="9" t="s">
        <v>309</v>
      </c>
      <c r="E155" s="9" t="s">
        <v>1004</v>
      </c>
      <c r="F155" s="9"/>
      <c r="G155" s="9" t="s">
        <v>299</v>
      </c>
      <c r="H155" s="14">
        <v>350400</v>
      </c>
      <c r="I155" s="17">
        <v>1</v>
      </c>
      <c r="J155" s="9" t="str">
        <f t="shared" si="2"/>
        <v>Stok Terbatas</v>
      </c>
      <c r="K155" s="9" t="s">
        <v>288</v>
      </c>
      <c r="L155" s="9" t="s">
        <v>40</v>
      </c>
      <c r="M155" s="10"/>
    </row>
    <row r="156" spans="1:13">
      <c r="A156" s="20" t="s">
        <v>1005</v>
      </c>
      <c r="B156" s="23">
        <v>4</v>
      </c>
      <c r="C156" s="26" t="s">
        <v>213</v>
      </c>
      <c r="D156" s="9" t="s">
        <v>312</v>
      </c>
      <c r="E156" s="9" t="s">
        <v>1006</v>
      </c>
      <c r="F156" s="9"/>
      <c r="G156" s="9" t="s">
        <v>292</v>
      </c>
      <c r="H156" s="14">
        <v>350400</v>
      </c>
      <c r="I156" s="17">
        <v>2</v>
      </c>
      <c r="J156" s="9" t="str">
        <f t="shared" si="2"/>
        <v>Stok Terbatas</v>
      </c>
      <c r="K156" s="9" t="s">
        <v>288</v>
      </c>
      <c r="L156" s="9" t="s">
        <v>40</v>
      </c>
      <c r="M156" s="10"/>
    </row>
    <row r="157" spans="1:13">
      <c r="A157" s="20" t="s">
        <v>1007</v>
      </c>
      <c r="B157" s="23">
        <v>4</v>
      </c>
      <c r="C157" s="26" t="s">
        <v>213</v>
      </c>
      <c r="D157" s="9" t="s">
        <v>243</v>
      </c>
      <c r="E157" s="9" t="s">
        <v>1008</v>
      </c>
      <c r="F157" s="9" t="s">
        <v>246</v>
      </c>
      <c r="G157" s="9"/>
      <c r="H157" s="14">
        <v>235000</v>
      </c>
      <c r="I157" s="17">
        <v>1</v>
      </c>
      <c r="J157" s="9" t="str">
        <f t="shared" si="2"/>
        <v>Stok Terbatas</v>
      </c>
      <c r="K157" s="9" t="s">
        <v>239</v>
      </c>
      <c r="L157" s="9" t="s">
        <v>40</v>
      </c>
      <c r="M157" s="10"/>
    </row>
    <row r="158" spans="1:13">
      <c r="A158" s="20" t="s">
        <v>1009</v>
      </c>
      <c r="B158" s="23">
        <v>4</v>
      </c>
      <c r="C158" s="26" t="s">
        <v>213</v>
      </c>
      <c r="D158" s="9" t="s">
        <v>247</v>
      </c>
      <c r="E158" s="9" t="s">
        <v>249</v>
      </c>
      <c r="F158" s="9"/>
      <c r="G158" s="9"/>
      <c r="H158" s="14">
        <v>258500</v>
      </c>
      <c r="I158" s="17">
        <v>1</v>
      </c>
      <c r="J158" s="9" t="str">
        <f t="shared" si="2"/>
        <v>Stok Terbatas</v>
      </c>
      <c r="K158" s="9" t="s">
        <v>239</v>
      </c>
      <c r="L158" s="9" t="s">
        <v>40</v>
      </c>
      <c r="M158" s="10"/>
    </row>
    <row r="159" spans="1:13">
      <c r="A159" s="20" t="s">
        <v>1010</v>
      </c>
      <c r="B159" s="23">
        <v>4</v>
      </c>
      <c r="C159" s="26" t="s">
        <v>213</v>
      </c>
      <c r="D159" s="9" t="s">
        <v>250</v>
      </c>
      <c r="E159" s="9" t="s">
        <v>252</v>
      </c>
      <c r="F159" s="9"/>
      <c r="G159" s="9"/>
      <c r="H159" s="14">
        <v>235000</v>
      </c>
      <c r="I159" s="17">
        <v>1</v>
      </c>
      <c r="J159" s="9" t="str">
        <f t="shared" si="2"/>
        <v>Stok Terbatas</v>
      </c>
      <c r="K159" s="9" t="s">
        <v>239</v>
      </c>
      <c r="L159" s="9" t="s">
        <v>40</v>
      </c>
      <c r="M159" s="10"/>
    </row>
    <row r="160" spans="1:13">
      <c r="A160" s="20" t="s">
        <v>1011</v>
      </c>
      <c r="B160" s="23">
        <v>4</v>
      </c>
      <c r="C160" s="26" t="s">
        <v>213</v>
      </c>
      <c r="D160" s="9" t="s">
        <v>275</v>
      </c>
      <c r="E160" s="9" t="s">
        <v>277</v>
      </c>
      <c r="F160" s="9"/>
      <c r="G160" s="9"/>
      <c r="H160" s="14">
        <v>413885</v>
      </c>
      <c r="I160" s="17">
        <v>1</v>
      </c>
      <c r="J160" s="9" t="str">
        <f t="shared" si="2"/>
        <v>Stok Terbatas</v>
      </c>
      <c r="K160" s="9" t="s">
        <v>48</v>
      </c>
      <c r="L160" s="9" t="s">
        <v>40</v>
      </c>
      <c r="M160" s="10"/>
    </row>
    <row r="161" spans="1:13">
      <c r="A161" s="20" t="s">
        <v>1012</v>
      </c>
      <c r="B161" s="23">
        <v>4</v>
      </c>
      <c r="C161" s="26" t="s">
        <v>213</v>
      </c>
      <c r="D161" s="9" t="s">
        <v>315</v>
      </c>
      <c r="E161" s="9" t="s">
        <v>1013</v>
      </c>
      <c r="F161" s="9" t="s">
        <v>318</v>
      </c>
      <c r="G161" s="9"/>
      <c r="H161" s="14">
        <v>499900</v>
      </c>
      <c r="I161" s="17">
        <v>2</v>
      </c>
      <c r="J161" s="9" t="str">
        <f t="shared" si="2"/>
        <v>Stok Terbatas</v>
      </c>
      <c r="K161" s="9" t="s">
        <v>288</v>
      </c>
      <c r="L161" s="9" t="s">
        <v>40</v>
      </c>
      <c r="M161" s="10"/>
    </row>
    <row r="162" spans="1:13">
      <c r="A162" s="20" t="s">
        <v>1014</v>
      </c>
      <c r="B162" s="23">
        <v>4</v>
      </c>
      <c r="C162" s="26" t="s">
        <v>213</v>
      </c>
      <c r="D162" s="9" t="s">
        <v>278</v>
      </c>
      <c r="E162" s="9" t="s">
        <v>1015</v>
      </c>
      <c r="F162" s="9"/>
      <c r="G162" s="9" t="s">
        <v>147</v>
      </c>
      <c r="H162" s="14">
        <v>169900</v>
      </c>
      <c r="I162" s="17">
        <v>1</v>
      </c>
      <c r="J162" s="9" t="str">
        <f t="shared" si="2"/>
        <v>Stok Terbatas</v>
      </c>
      <c r="K162" s="9" t="s">
        <v>48</v>
      </c>
      <c r="L162" s="9" t="s">
        <v>40</v>
      </c>
      <c r="M162" s="10"/>
    </row>
    <row r="163" spans="1:13">
      <c r="A163" s="20" t="s">
        <v>1016</v>
      </c>
      <c r="B163" s="23">
        <v>4</v>
      </c>
      <c r="C163" s="26" t="s">
        <v>213</v>
      </c>
      <c r="D163" s="9" t="s">
        <v>278</v>
      </c>
      <c r="E163" s="9" t="s">
        <v>1017</v>
      </c>
      <c r="F163" s="9"/>
      <c r="G163" s="9" t="s">
        <v>858</v>
      </c>
      <c r="H163" s="14">
        <v>169900</v>
      </c>
      <c r="I163" s="17">
        <v>1</v>
      </c>
      <c r="J163" s="9" t="str">
        <f t="shared" si="2"/>
        <v>Stok Terbatas</v>
      </c>
      <c r="K163" s="9" t="s">
        <v>48</v>
      </c>
      <c r="L163" s="9" t="s">
        <v>40</v>
      </c>
      <c r="M163" s="10"/>
    </row>
    <row r="164" spans="1:13">
      <c r="A164" s="20" t="s">
        <v>1018</v>
      </c>
      <c r="B164" s="23">
        <v>4</v>
      </c>
      <c r="C164" s="26" t="s">
        <v>213</v>
      </c>
      <c r="D164" s="9" t="s">
        <v>228</v>
      </c>
      <c r="E164" s="9" t="s">
        <v>1019</v>
      </c>
      <c r="F164" s="9"/>
      <c r="G164" s="9" t="s">
        <v>235</v>
      </c>
      <c r="H164" s="14">
        <v>209900</v>
      </c>
      <c r="I164" s="17">
        <v>1</v>
      </c>
      <c r="J164" s="9" t="str">
        <f t="shared" si="2"/>
        <v>Stok Terbatas</v>
      </c>
      <c r="K164" s="9" t="s">
        <v>33</v>
      </c>
      <c r="L164" s="9" t="s">
        <v>40</v>
      </c>
      <c r="M164" s="10"/>
    </row>
    <row r="165" spans="1:13">
      <c r="A165" s="20" t="s">
        <v>1020</v>
      </c>
      <c r="B165" s="23">
        <v>4</v>
      </c>
      <c r="C165" s="26" t="s">
        <v>213</v>
      </c>
      <c r="D165" s="9" t="s">
        <v>228</v>
      </c>
      <c r="E165" s="9" t="s">
        <v>1021</v>
      </c>
      <c r="F165" s="9"/>
      <c r="G165" s="9" t="s">
        <v>858</v>
      </c>
      <c r="H165" s="14">
        <v>209900</v>
      </c>
      <c r="I165" s="17">
        <v>1</v>
      </c>
      <c r="J165" s="9" t="str">
        <f t="shared" si="2"/>
        <v>Stok Terbatas</v>
      </c>
      <c r="K165" s="9" t="s">
        <v>33</v>
      </c>
      <c r="L165" s="9" t="s">
        <v>40</v>
      </c>
      <c r="M165" s="10"/>
    </row>
    <row r="166" spans="1:13">
      <c r="A166" s="20" t="s">
        <v>1022</v>
      </c>
      <c r="B166" s="23">
        <v>4</v>
      </c>
      <c r="C166" s="26" t="s">
        <v>213</v>
      </c>
      <c r="D166" s="9" t="s">
        <v>232</v>
      </c>
      <c r="E166" s="9" t="s">
        <v>1023</v>
      </c>
      <c r="F166" s="9"/>
      <c r="G166" s="9" t="s">
        <v>235</v>
      </c>
      <c r="H166" s="14">
        <v>209900</v>
      </c>
      <c r="I166" s="17">
        <v>1</v>
      </c>
      <c r="J166" s="9" t="str">
        <f t="shared" si="2"/>
        <v>Stok Terbatas</v>
      </c>
      <c r="K166" s="9" t="s">
        <v>33</v>
      </c>
      <c r="L166" s="9" t="s">
        <v>40</v>
      </c>
      <c r="M166" s="10"/>
    </row>
    <row r="167" spans="1:13">
      <c r="A167" s="20" t="s">
        <v>1024</v>
      </c>
      <c r="B167" s="23">
        <v>6</v>
      </c>
      <c r="C167" s="26" t="s">
        <v>335</v>
      </c>
      <c r="D167" s="9" t="s">
        <v>333</v>
      </c>
      <c r="E167" s="9" t="s">
        <v>1025</v>
      </c>
      <c r="F167" s="9" t="s">
        <v>337</v>
      </c>
      <c r="G167" s="9"/>
      <c r="H167" s="14">
        <v>50000</v>
      </c>
      <c r="I167" s="17">
        <v>1</v>
      </c>
      <c r="J167" s="9" t="str">
        <f t="shared" si="2"/>
        <v>Stok Terbatas</v>
      </c>
      <c r="K167" s="9" t="s">
        <v>57</v>
      </c>
      <c r="L167" s="9" t="s">
        <v>40</v>
      </c>
      <c r="M167" s="10"/>
    </row>
    <row r="168" spans="1:13">
      <c r="A168" s="20" t="s">
        <v>1026</v>
      </c>
      <c r="B168" s="23">
        <v>6</v>
      </c>
      <c r="C168" s="26" t="s">
        <v>335</v>
      </c>
      <c r="D168" s="9" t="s">
        <v>338</v>
      </c>
      <c r="E168" s="9" t="s">
        <v>340</v>
      </c>
      <c r="F168" s="9"/>
      <c r="G168" s="9"/>
      <c r="H168" s="14">
        <v>95000</v>
      </c>
      <c r="I168" s="17">
        <v>1</v>
      </c>
      <c r="J168" s="9" t="str">
        <f t="shared" si="2"/>
        <v>Stok Terbatas</v>
      </c>
      <c r="K168" s="9" t="s">
        <v>57</v>
      </c>
      <c r="L168" s="9" t="s">
        <v>40</v>
      </c>
      <c r="M168" s="10"/>
    </row>
    <row r="169" spans="1:13">
      <c r="A169" s="20" t="s">
        <v>1027</v>
      </c>
      <c r="B169" s="23">
        <v>6</v>
      </c>
      <c r="C169" s="26" t="s">
        <v>335</v>
      </c>
      <c r="D169" s="9" t="s">
        <v>341</v>
      </c>
      <c r="E169" s="9" t="s">
        <v>343</v>
      </c>
      <c r="F169" s="9"/>
      <c r="G169" s="9"/>
      <c r="H169" s="14">
        <v>125000</v>
      </c>
      <c r="I169" s="17">
        <v>1</v>
      </c>
      <c r="J169" s="9" t="str">
        <f t="shared" si="2"/>
        <v>Stok Terbatas</v>
      </c>
      <c r="K169" s="9" t="s">
        <v>57</v>
      </c>
      <c r="L169" s="9" t="s">
        <v>40</v>
      </c>
      <c r="M169" s="10"/>
    </row>
    <row r="170" spans="1:13">
      <c r="A170" s="20" t="s">
        <v>1028</v>
      </c>
      <c r="B170" s="23">
        <v>6</v>
      </c>
      <c r="C170" s="26" t="s">
        <v>335</v>
      </c>
      <c r="D170" s="9" t="s">
        <v>344</v>
      </c>
      <c r="E170" s="9" t="s">
        <v>346</v>
      </c>
      <c r="F170" s="9"/>
      <c r="G170" s="9"/>
      <c r="H170" s="14">
        <v>125000</v>
      </c>
      <c r="I170" s="17">
        <v>1</v>
      </c>
      <c r="J170" s="9" t="str">
        <f t="shared" si="2"/>
        <v>Stok Terbatas</v>
      </c>
      <c r="K170" s="9" t="s">
        <v>57</v>
      </c>
      <c r="L170" s="9" t="s">
        <v>40</v>
      </c>
      <c r="M170" s="10"/>
    </row>
    <row r="171" spans="1:13">
      <c r="A171" s="20" t="s">
        <v>1029</v>
      </c>
      <c r="B171" s="23">
        <v>6</v>
      </c>
      <c r="C171" s="26" t="s">
        <v>335</v>
      </c>
      <c r="D171" s="9" t="s">
        <v>347</v>
      </c>
      <c r="E171" s="9" t="s">
        <v>1030</v>
      </c>
      <c r="F171" s="9" t="s">
        <v>350</v>
      </c>
      <c r="G171" s="9"/>
      <c r="H171" s="14">
        <v>125000</v>
      </c>
      <c r="I171" s="17">
        <v>2</v>
      </c>
      <c r="J171" s="9" t="str">
        <f t="shared" si="2"/>
        <v>Stok Terbatas</v>
      </c>
      <c r="K171" s="9" t="s">
        <v>57</v>
      </c>
      <c r="L171" s="9" t="s">
        <v>40</v>
      </c>
      <c r="M171" s="10"/>
    </row>
    <row r="172" spans="1:13">
      <c r="A172" s="20" t="s">
        <v>1031</v>
      </c>
      <c r="B172" s="23">
        <v>7</v>
      </c>
      <c r="C172" s="26" t="s">
        <v>353</v>
      </c>
      <c r="D172" s="9" t="s">
        <v>351</v>
      </c>
      <c r="E172" s="9" t="s">
        <v>1032</v>
      </c>
      <c r="F172" s="9"/>
      <c r="G172" s="9" t="s">
        <v>177</v>
      </c>
      <c r="H172" s="14">
        <v>15000</v>
      </c>
      <c r="I172" s="17">
        <v>43</v>
      </c>
      <c r="J172" s="9" t="str">
        <f t="shared" si="2"/>
        <v>Tersedia</v>
      </c>
      <c r="K172" s="9" t="s">
        <v>57</v>
      </c>
      <c r="L172" s="9" t="s">
        <v>40</v>
      </c>
      <c r="M172" s="10"/>
    </row>
    <row r="173" spans="1:13">
      <c r="A173" s="20" t="s">
        <v>1033</v>
      </c>
      <c r="B173" s="23">
        <v>7</v>
      </c>
      <c r="C173" s="26" t="s">
        <v>353</v>
      </c>
      <c r="D173" s="9" t="s">
        <v>351</v>
      </c>
      <c r="E173" s="9" t="s">
        <v>1034</v>
      </c>
      <c r="F173" s="9"/>
      <c r="G173" s="9" t="s">
        <v>606</v>
      </c>
      <c r="H173" s="14">
        <v>10000</v>
      </c>
      <c r="I173" s="17">
        <v>65</v>
      </c>
      <c r="J173" s="9" t="str">
        <f t="shared" si="2"/>
        <v>Tersedia</v>
      </c>
      <c r="K173" s="9" t="s">
        <v>57</v>
      </c>
      <c r="L173" s="9" t="s">
        <v>40</v>
      </c>
      <c r="M173" s="10"/>
    </row>
    <row r="174" spans="1:13">
      <c r="A174" s="20" t="s">
        <v>1035</v>
      </c>
      <c r="B174" s="23">
        <v>7</v>
      </c>
      <c r="C174" s="26" t="s">
        <v>353</v>
      </c>
      <c r="D174" s="9" t="s">
        <v>351</v>
      </c>
      <c r="E174" s="9" t="s">
        <v>1036</v>
      </c>
      <c r="F174" s="9"/>
      <c r="G174" s="9" t="s">
        <v>382</v>
      </c>
      <c r="H174" s="14">
        <v>5000</v>
      </c>
      <c r="I174" s="17">
        <v>37</v>
      </c>
      <c r="J174" s="9" t="str">
        <f t="shared" si="2"/>
        <v>Tersedia</v>
      </c>
      <c r="K174" s="9" t="s">
        <v>57</v>
      </c>
      <c r="L174" s="9" t="s">
        <v>40</v>
      </c>
      <c r="M174" s="10"/>
    </row>
    <row r="175" spans="1:13">
      <c r="A175" s="20" t="s">
        <v>1037</v>
      </c>
      <c r="B175" s="23">
        <v>9</v>
      </c>
      <c r="C175" s="26" t="s">
        <v>357</v>
      </c>
      <c r="D175" s="9" t="s">
        <v>363</v>
      </c>
      <c r="E175" s="9" t="s">
        <v>1038</v>
      </c>
      <c r="F175" s="9" t="s">
        <v>188</v>
      </c>
      <c r="G175" s="9"/>
      <c r="H175" s="14">
        <v>365000</v>
      </c>
      <c r="I175" s="17">
        <v>2</v>
      </c>
      <c r="J175" s="9" t="str">
        <f t="shared" si="2"/>
        <v>Stok Terbatas</v>
      </c>
      <c r="K175" s="9" t="s">
        <v>48</v>
      </c>
      <c r="L175" s="9" t="s">
        <v>40</v>
      </c>
      <c r="M175" s="10"/>
    </row>
    <row r="176" spans="1:13">
      <c r="A176" s="20" t="s">
        <v>1039</v>
      </c>
      <c r="B176" s="23">
        <v>9</v>
      </c>
      <c r="C176" s="26" t="s">
        <v>357</v>
      </c>
      <c r="D176" s="9" t="s">
        <v>363</v>
      </c>
      <c r="E176" s="9" t="s">
        <v>1040</v>
      </c>
      <c r="F176" s="9" t="s">
        <v>246</v>
      </c>
      <c r="G176" s="9"/>
      <c r="H176" s="14">
        <v>365000</v>
      </c>
      <c r="I176" s="17">
        <v>1</v>
      </c>
      <c r="J176" s="9" t="str">
        <f t="shared" si="2"/>
        <v>Stok Terbatas</v>
      </c>
      <c r="K176" s="9" t="s">
        <v>48</v>
      </c>
      <c r="L176" s="9" t="s">
        <v>40</v>
      </c>
      <c r="M176" s="10"/>
    </row>
    <row r="177" spans="1:13">
      <c r="A177" s="20" t="s">
        <v>1041</v>
      </c>
      <c r="B177" s="23">
        <v>9</v>
      </c>
      <c r="C177" s="26" t="s">
        <v>357</v>
      </c>
      <c r="D177" s="9" t="s">
        <v>355</v>
      </c>
      <c r="E177" s="9" t="s">
        <v>358</v>
      </c>
      <c r="F177" s="9"/>
      <c r="G177" s="9"/>
      <c r="H177" s="14">
        <v>405000</v>
      </c>
      <c r="I177" s="17">
        <v>1</v>
      </c>
      <c r="J177" s="9" t="str">
        <f t="shared" si="2"/>
        <v>Stok Terbatas</v>
      </c>
      <c r="K177" s="9" t="s">
        <v>121</v>
      </c>
      <c r="L177" s="9" t="s">
        <v>40</v>
      </c>
      <c r="M177" s="10"/>
    </row>
    <row r="178" spans="1:13">
      <c r="A178" s="20" t="s">
        <v>1042</v>
      </c>
      <c r="B178" s="23">
        <v>9</v>
      </c>
      <c r="C178" s="26" t="s">
        <v>357</v>
      </c>
      <c r="D178" s="9" t="s">
        <v>359</v>
      </c>
      <c r="E178" s="9" t="s">
        <v>1043</v>
      </c>
      <c r="F178" s="9" t="s">
        <v>1044</v>
      </c>
      <c r="G178" s="9"/>
      <c r="H178" s="14">
        <v>260000</v>
      </c>
      <c r="I178" s="17">
        <v>1</v>
      </c>
      <c r="J178" s="9" t="str">
        <f t="shared" si="2"/>
        <v>Stok Terbatas</v>
      </c>
      <c r="K178" s="9" t="s">
        <v>121</v>
      </c>
      <c r="L178" s="9" t="s">
        <v>40</v>
      </c>
      <c r="M178" s="10"/>
    </row>
    <row r="179" spans="1:13">
      <c r="A179" s="20" t="s">
        <v>1045</v>
      </c>
      <c r="B179" s="23">
        <v>9</v>
      </c>
      <c r="C179" s="26" t="s">
        <v>357</v>
      </c>
      <c r="D179" s="9" t="s">
        <v>359</v>
      </c>
      <c r="E179" s="9" t="s">
        <v>1046</v>
      </c>
      <c r="F179" s="9" t="s">
        <v>1047</v>
      </c>
      <c r="G179" s="9"/>
      <c r="H179" s="14">
        <v>260000</v>
      </c>
      <c r="I179" s="17">
        <v>1</v>
      </c>
      <c r="J179" s="9" t="str">
        <f t="shared" si="2"/>
        <v>Stok Terbatas</v>
      </c>
      <c r="K179" s="9" t="s">
        <v>121</v>
      </c>
      <c r="L179" s="9" t="s">
        <v>40</v>
      </c>
      <c r="M179" s="10"/>
    </row>
    <row r="180" spans="1:13">
      <c r="A180" s="20" t="s">
        <v>1048</v>
      </c>
      <c r="B180" s="23">
        <v>9</v>
      </c>
      <c r="C180" s="26" t="s">
        <v>357</v>
      </c>
      <c r="D180" s="9" t="s">
        <v>359</v>
      </c>
      <c r="E180" s="9" t="s">
        <v>1049</v>
      </c>
      <c r="F180" s="9" t="s">
        <v>1050</v>
      </c>
      <c r="G180" s="9"/>
      <c r="H180" s="14">
        <v>260000</v>
      </c>
      <c r="I180" s="17">
        <v>1</v>
      </c>
      <c r="J180" s="9" t="str">
        <f t="shared" si="2"/>
        <v>Stok Terbatas</v>
      </c>
      <c r="K180" s="9" t="s">
        <v>121</v>
      </c>
      <c r="L180" s="9" t="s">
        <v>40</v>
      </c>
      <c r="M180" s="10"/>
    </row>
    <row r="181" spans="1:13">
      <c r="A181" s="20" t="s">
        <v>1051</v>
      </c>
      <c r="B181" s="23">
        <v>10</v>
      </c>
      <c r="C181" s="26" t="s">
        <v>369</v>
      </c>
      <c r="D181" s="9" t="s">
        <v>395</v>
      </c>
      <c r="E181" s="9" t="s">
        <v>1052</v>
      </c>
      <c r="F181" s="9" t="s">
        <v>398</v>
      </c>
      <c r="G181" s="9" t="s">
        <v>399</v>
      </c>
      <c r="H181" s="14">
        <v>365000</v>
      </c>
      <c r="I181" s="17">
        <v>2</v>
      </c>
      <c r="J181" s="9" t="str">
        <f t="shared" si="2"/>
        <v>Stok Terbatas</v>
      </c>
      <c r="K181" s="9" t="s">
        <v>48</v>
      </c>
      <c r="L181" s="9" t="s">
        <v>40</v>
      </c>
      <c r="M181" s="10"/>
    </row>
    <row r="182" spans="1:13">
      <c r="A182" s="20" t="s">
        <v>1053</v>
      </c>
      <c r="B182" s="23">
        <v>10</v>
      </c>
      <c r="C182" s="26" t="s">
        <v>369</v>
      </c>
      <c r="D182" s="9" t="s">
        <v>400</v>
      </c>
      <c r="E182" s="9" t="s">
        <v>1054</v>
      </c>
      <c r="F182" s="9" t="s">
        <v>188</v>
      </c>
      <c r="G182" s="9" t="s">
        <v>606</v>
      </c>
      <c r="H182" s="14">
        <v>395000</v>
      </c>
      <c r="I182" s="17">
        <v>2</v>
      </c>
      <c r="J182" s="9" t="str">
        <f t="shared" si="2"/>
        <v>Stok Terbatas</v>
      </c>
      <c r="K182" s="9" t="s">
        <v>48</v>
      </c>
      <c r="L182" s="9" t="s">
        <v>40</v>
      </c>
      <c r="M182" s="10"/>
    </row>
    <row r="183" spans="1:13">
      <c r="A183" s="20" t="s">
        <v>1055</v>
      </c>
      <c r="B183" s="23">
        <v>10</v>
      </c>
      <c r="C183" s="26" t="s">
        <v>369</v>
      </c>
      <c r="D183" s="9" t="s">
        <v>400</v>
      </c>
      <c r="E183" s="9" t="s">
        <v>1056</v>
      </c>
      <c r="F183" s="9" t="s">
        <v>188</v>
      </c>
      <c r="G183" s="9" t="s">
        <v>382</v>
      </c>
      <c r="H183" s="14">
        <v>395000</v>
      </c>
      <c r="I183" s="17">
        <v>1</v>
      </c>
      <c r="J183" s="9" t="str">
        <f t="shared" si="2"/>
        <v>Stok Terbatas</v>
      </c>
      <c r="K183" s="9" t="s">
        <v>48</v>
      </c>
      <c r="L183" s="9" t="s">
        <v>40</v>
      </c>
      <c r="M183" s="10"/>
    </row>
    <row r="184" spans="1:13">
      <c r="A184" s="20" t="s">
        <v>1057</v>
      </c>
      <c r="B184" s="23">
        <v>10</v>
      </c>
      <c r="C184" s="26" t="s">
        <v>369</v>
      </c>
      <c r="D184" s="9" t="s">
        <v>400</v>
      </c>
      <c r="E184" s="9" t="s">
        <v>1058</v>
      </c>
      <c r="F184" s="9" t="s">
        <v>670</v>
      </c>
      <c r="G184" s="9" t="s">
        <v>606</v>
      </c>
      <c r="H184" s="14">
        <v>395000</v>
      </c>
      <c r="I184" s="17">
        <v>2</v>
      </c>
      <c r="J184" s="9" t="str">
        <f t="shared" si="2"/>
        <v>Stok Terbatas</v>
      </c>
      <c r="K184" s="9" t="s">
        <v>48</v>
      </c>
      <c r="L184" s="9" t="s">
        <v>40</v>
      </c>
      <c r="M184" s="10"/>
    </row>
    <row r="185" spans="1:13">
      <c r="A185" s="20" t="s">
        <v>1059</v>
      </c>
      <c r="B185" s="23">
        <v>10</v>
      </c>
      <c r="C185" s="26" t="s">
        <v>369</v>
      </c>
      <c r="D185" s="9" t="s">
        <v>400</v>
      </c>
      <c r="E185" s="9" t="s">
        <v>1060</v>
      </c>
      <c r="F185" s="9" t="s">
        <v>670</v>
      </c>
      <c r="G185" s="9" t="s">
        <v>382</v>
      </c>
      <c r="H185" s="14">
        <v>395000</v>
      </c>
      <c r="I185" s="17">
        <v>1</v>
      </c>
      <c r="J185" s="9" t="str">
        <f t="shared" si="2"/>
        <v>Stok Terbatas</v>
      </c>
      <c r="K185" s="9" t="s">
        <v>48</v>
      </c>
      <c r="L185" s="9" t="s">
        <v>40</v>
      </c>
      <c r="M185" s="10"/>
    </row>
    <row r="186" spans="1:13">
      <c r="A186" s="20" t="s">
        <v>1061</v>
      </c>
      <c r="B186" s="23">
        <v>10</v>
      </c>
      <c r="C186" s="26" t="s">
        <v>369</v>
      </c>
      <c r="D186" s="9" t="s">
        <v>405</v>
      </c>
      <c r="E186" s="9" t="s">
        <v>1062</v>
      </c>
      <c r="F186" s="9" t="s">
        <v>1063</v>
      </c>
      <c r="G186" s="9" t="s">
        <v>177</v>
      </c>
      <c r="H186" s="14">
        <v>355000</v>
      </c>
      <c r="I186" s="17">
        <v>1</v>
      </c>
      <c r="J186" s="9" t="str">
        <f t="shared" si="2"/>
        <v>Stok Terbatas</v>
      </c>
      <c r="K186" s="9" t="s">
        <v>48</v>
      </c>
      <c r="L186" s="9" t="s">
        <v>40</v>
      </c>
      <c r="M186" s="10"/>
    </row>
    <row r="187" spans="1:13">
      <c r="A187" s="20" t="s">
        <v>1064</v>
      </c>
      <c r="B187" s="23">
        <v>10</v>
      </c>
      <c r="C187" s="26" t="s">
        <v>369</v>
      </c>
      <c r="D187" s="9" t="s">
        <v>405</v>
      </c>
      <c r="E187" s="9" t="s">
        <v>1065</v>
      </c>
      <c r="F187" s="9" t="s">
        <v>1063</v>
      </c>
      <c r="G187" s="9" t="s">
        <v>606</v>
      </c>
      <c r="H187" s="14">
        <v>355000</v>
      </c>
      <c r="I187" s="17">
        <v>1</v>
      </c>
      <c r="J187" s="9" t="str">
        <f t="shared" si="2"/>
        <v>Stok Terbatas</v>
      </c>
      <c r="K187" s="9" t="s">
        <v>48</v>
      </c>
      <c r="L187" s="9" t="s">
        <v>40</v>
      </c>
      <c r="M187" s="10"/>
    </row>
    <row r="188" spans="1:13">
      <c r="A188" s="20" t="s">
        <v>1066</v>
      </c>
      <c r="B188" s="23">
        <v>10</v>
      </c>
      <c r="C188" s="26" t="s">
        <v>369</v>
      </c>
      <c r="D188" s="9" t="s">
        <v>405</v>
      </c>
      <c r="E188" s="9" t="s">
        <v>1067</v>
      </c>
      <c r="F188" s="9" t="s">
        <v>1063</v>
      </c>
      <c r="G188" s="9" t="s">
        <v>382</v>
      </c>
      <c r="H188" s="14">
        <v>355000</v>
      </c>
      <c r="I188" s="17">
        <v>3</v>
      </c>
      <c r="J188" s="9" t="str">
        <f t="shared" si="2"/>
        <v>Tersedia</v>
      </c>
      <c r="K188" s="9" t="s">
        <v>48</v>
      </c>
      <c r="L188" s="9" t="s">
        <v>40</v>
      </c>
      <c r="M188" s="10"/>
    </row>
    <row r="189" spans="1:13">
      <c r="A189" s="20" t="s">
        <v>1068</v>
      </c>
      <c r="B189" s="23">
        <v>10</v>
      </c>
      <c r="C189" s="26" t="s">
        <v>369</v>
      </c>
      <c r="D189" s="9" t="s">
        <v>405</v>
      </c>
      <c r="E189" s="9" t="s">
        <v>1069</v>
      </c>
      <c r="F189" s="9" t="s">
        <v>535</v>
      </c>
      <c r="G189" s="9" t="s">
        <v>177</v>
      </c>
      <c r="H189" s="14">
        <v>355000</v>
      </c>
      <c r="I189" s="17">
        <v>1</v>
      </c>
      <c r="J189" s="9" t="str">
        <f t="shared" si="2"/>
        <v>Stok Terbatas</v>
      </c>
      <c r="K189" s="9" t="s">
        <v>48</v>
      </c>
      <c r="L189" s="9" t="s">
        <v>40</v>
      </c>
      <c r="M189" s="10"/>
    </row>
    <row r="190" spans="1:13">
      <c r="A190" s="20" t="s">
        <v>1070</v>
      </c>
      <c r="B190" s="23">
        <v>10</v>
      </c>
      <c r="C190" s="26" t="s">
        <v>369</v>
      </c>
      <c r="D190" s="9" t="s">
        <v>405</v>
      </c>
      <c r="E190" s="9" t="s">
        <v>1071</v>
      </c>
      <c r="F190" s="9" t="s">
        <v>535</v>
      </c>
      <c r="G190" s="9" t="s">
        <v>606</v>
      </c>
      <c r="H190" s="14">
        <v>355000</v>
      </c>
      <c r="I190" s="17">
        <v>1</v>
      </c>
      <c r="J190" s="9" t="str">
        <f t="shared" si="2"/>
        <v>Stok Terbatas</v>
      </c>
      <c r="K190" s="9" t="s">
        <v>48</v>
      </c>
      <c r="L190" s="9" t="s">
        <v>40</v>
      </c>
      <c r="M190" s="10"/>
    </row>
    <row r="191" spans="1:13">
      <c r="A191" s="20" t="s">
        <v>1072</v>
      </c>
      <c r="B191" s="23">
        <v>10</v>
      </c>
      <c r="C191" s="26" t="s">
        <v>369</v>
      </c>
      <c r="D191" s="9" t="s">
        <v>405</v>
      </c>
      <c r="E191" s="9" t="s">
        <v>1073</v>
      </c>
      <c r="F191" s="9" t="s">
        <v>1074</v>
      </c>
      <c r="G191" s="9" t="s">
        <v>606</v>
      </c>
      <c r="H191" s="14">
        <v>355000</v>
      </c>
      <c r="I191" s="17">
        <v>1</v>
      </c>
      <c r="J191" s="9" t="str">
        <f t="shared" si="2"/>
        <v>Stok Terbatas</v>
      </c>
      <c r="K191" s="9" t="s">
        <v>48</v>
      </c>
      <c r="L191" s="9" t="s">
        <v>40</v>
      </c>
      <c r="M191" s="10"/>
    </row>
    <row r="192" spans="1:13">
      <c r="A192" s="20" t="s">
        <v>1075</v>
      </c>
      <c r="B192" s="23">
        <v>10</v>
      </c>
      <c r="C192" s="26" t="s">
        <v>369</v>
      </c>
      <c r="D192" s="9" t="s">
        <v>405</v>
      </c>
      <c r="E192" s="9" t="s">
        <v>1076</v>
      </c>
      <c r="F192" s="9" t="s">
        <v>1077</v>
      </c>
      <c r="G192" s="9" t="s">
        <v>177</v>
      </c>
      <c r="H192" s="14">
        <v>355000</v>
      </c>
      <c r="I192" s="17">
        <v>1</v>
      </c>
      <c r="J192" s="9" t="str">
        <f t="shared" si="2"/>
        <v>Stok Terbatas</v>
      </c>
      <c r="K192" s="9" t="s">
        <v>48</v>
      </c>
      <c r="L192" s="9" t="s">
        <v>40</v>
      </c>
      <c r="M192" s="10"/>
    </row>
    <row r="193" spans="1:13">
      <c r="A193" s="20" t="s">
        <v>1078</v>
      </c>
      <c r="B193" s="23">
        <v>10</v>
      </c>
      <c r="C193" s="26" t="s">
        <v>369</v>
      </c>
      <c r="D193" s="9" t="s">
        <v>405</v>
      </c>
      <c r="E193" s="9" t="s">
        <v>1079</v>
      </c>
      <c r="F193" s="9" t="s">
        <v>1077</v>
      </c>
      <c r="G193" s="9" t="s">
        <v>606</v>
      </c>
      <c r="H193" s="14">
        <v>355000</v>
      </c>
      <c r="I193" s="17">
        <v>1</v>
      </c>
      <c r="J193" s="9" t="str">
        <f t="shared" si="2"/>
        <v>Stok Terbatas</v>
      </c>
      <c r="K193" s="9" t="s">
        <v>48</v>
      </c>
      <c r="L193" s="9" t="s">
        <v>40</v>
      </c>
      <c r="M193" s="10"/>
    </row>
    <row r="194" spans="1:13">
      <c r="A194" s="20" t="s">
        <v>1080</v>
      </c>
      <c r="B194" s="23">
        <v>10</v>
      </c>
      <c r="C194" s="26" t="s">
        <v>369</v>
      </c>
      <c r="D194" s="9" t="s">
        <v>383</v>
      </c>
      <c r="E194" s="9" t="s">
        <v>1081</v>
      </c>
      <c r="F194" s="9" t="s">
        <v>386</v>
      </c>
      <c r="G194" s="9"/>
      <c r="H194" s="14">
        <v>295000</v>
      </c>
      <c r="I194" s="17">
        <v>2</v>
      </c>
      <c r="J194" s="9" t="str">
        <f t="shared" ref="J194:J257" si="3">IF(I194&lt;=0,"Habis",IF(I194&lt;=2,"Stok Terbatas","Tersedia"))</f>
        <v>Stok Terbatas</v>
      </c>
      <c r="K194" s="9" t="s">
        <v>239</v>
      </c>
      <c r="L194" s="9" t="s">
        <v>40</v>
      </c>
      <c r="M194" s="10"/>
    </row>
    <row r="195" spans="1:13">
      <c r="A195" s="20" t="s">
        <v>1082</v>
      </c>
      <c r="B195" s="23">
        <v>10</v>
      </c>
      <c r="C195" s="26" t="s">
        <v>369</v>
      </c>
      <c r="D195" s="9" t="s">
        <v>387</v>
      </c>
      <c r="E195" s="9" t="s">
        <v>1083</v>
      </c>
      <c r="F195" s="9" t="s">
        <v>390</v>
      </c>
      <c r="G195" s="9"/>
      <c r="H195" s="14">
        <v>185000</v>
      </c>
      <c r="I195" s="17">
        <v>2</v>
      </c>
      <c r="J195" s="9" t="str">
        <f t="shared" si="3"/>
        <v>Stok Terbatas</v>
      </c>
      <c r="K195" s="9" t="s">
        <v>239</v>
      </c>
      <c r="L195" s="9" t="s">
        <v>40</v>
      </c>
      <c r="M195" s="10"/>
    </row>
    <row r="196" spans="1:13">
      <c r="A196" s="20" t="s">
        <v>1084</v>
      </c>
      <c r="B196" s="23">
        <v>10</v>
      </c>
      <c r="C196" s="26" t="s">
        <v>369</v>
      </c>
      <c r="D196" s="9" t="s">
        <v>367</v>
      </c>
      <c r="E196" s="9" t="s">
        <v>1085</v>
      </c>
      <c r="F196" s="9" t="s">
        <v>372</v>
      </c>
      <c r="G196" s="9"/>
      <c r="H196" s="14">
        <v>395000</v>
      </c>
      <c r="I196" s="17">
        <v>1</v>
      </c>
      <c r="J196" s="9" t="str">
        <f t="shared" si="3"/>
        <v>Stok Terbatas</v>
      </c>
      <c r="K196" s="9" t="s">
        <v>371</v>
      </c>
      <c r="L196" s="9" t="s">
        <v>40</v>
      </c>
      <c r="M196" s="10"/>
    </row>
    <row r="197" spans="1:13">
      <c r="A197" s="20" t="s">
        <v>1086</v>
      </c>
      <c r="B197" s="23">
        <v>10</v>
      </c>
      <c r="C197" s="26" t="s">
        <v>369</v>
      </c>
      <c r="D197" s="9" t="s">
        <v>391</v>
      </c>
      <c r="E197" s="9" t="s">
        <v>1087</v>
      </c>
      <c r="F197" s="9" t="s">
        <v>394</v>
      </c>
      <c r="G197" s="9"/>
      <c r="H197" s="14">
        <v>295000</v>
      </c>
      <c r="I197" s="17">
        <v>1</v>
      </c>
      <c r="J197" s="9" t="str">
        <f t="shared" si="3"/>
        <v>Stok Terbatas</v>
      </c>
      <c r="K197" s="9" t="s">
        <v>239</v>
      </c>
      <c r="L197" s="9" t="s">
        <v>40</v>
      </c>
      <c r="M197" s="10"/>
    </row>
    <row r="198" spans="1:13">
      <c r="A198" s="20" t="s">
        <v>1088</v>
      </c>
      <c r="B198" s="23">
        <v>10</v>
      </c>
      <c r="C198" s="26" t="s">
        <v>369</v>
      </c>
      <c r="D198" s="9" t="s">
        <v>373</v>
      </c>
      <c r="E198" s="9" t="s">
        <v>1089</v>
      </c>
      <c r="F198" s="9" t="s">
        <v>376</v>
      </c>
      <c r="G198" s="9" t="s">
        <v>177</v>
      </c>
      <c r="H198" s="14">
        <v>595000</v>
      </c>
      <c r="I198" s="17">
        <v>1</v>
      </c>
      <c r="J198" s="9" t="str">
        <f t="shared" si="3"/>
        <v>Stok Terbatas</v>
      </c>
      <c r="K198" s="9" t="s">
        <v>33</v>
      </c>
      <c r="L198" s="9" t="s">
        <v>40</v>
      </c>
      <c r="M198" s="10"/>
    </row>
    <row r="199" spans="1:13">
      <c r="A199" s="20" t="s">
        <v>1090</v>
      </c>
      <c r="B199" s="23">
        <v>10</v>
      </c>
      <c r="C199" s="26" t="s">
        <v>369</v>
      </c>
      <c r="D199" s="9" t="s">
        <v>373</v>
      </c>
      <c r="E199" s="9" t="s">
        <v>1091</v>
      </c>
      <c r="F199" s="9" t="s">
        <v>376</v>
      </c>
      <c r="G199" s="9" t="s">
        <v>399</v>
      </c>
      <c r="H199" s="14">
        <v>595000</v>
      </c>
      <c r="I199" s="17">
        <v>3</v>
      </c>
      <c r="J199" s="9" t="str">
        <f t="shared" si="3"/>
        <v>Tersedia</v>
      </c>
      <c r="K199" s="9" t="s">
        <v>33</v>
      </c>
      <c r="L199" s="9" t="s">
        <v>40</v>
      </c>
      <c r="M199" s="10"/>
    </row>
    <row r="200" spans="1:13">
      <c r="A200" s="20" t="s">
        <v>1092</v>
      </c>
      <c r="B200" s="23">
        <v>10</v>
      </c>
      <c r="C200" s="26" t="s">
        <v>369</v>
      </c>
      <c r="D200" s="9" t="s">
        <v>378</v>
      </c>
      <c r="E200" s="9" t="s">
        <v>1093</v>
      </c>
      <c r="F200" s="9" t="s">
        <v>381</v>
      </c>
      <c r="G200" s="9" t="s">
        <v>382</v>
      </c>
      <c r="H200" s="14">
        <v>555000</v>
      </c>
      <c r="I200" s="17">
        <v>1</v>
      </c>
      <c r="J200" s="9" t="str">
        <f t="shared" si="3"/>
        <v>Stok Terbatas</v>
      </c>
      <c r="K200" s="9" t="s">
        <v>33</v>
      </c>
      <c r="L200" s="9" t="s">
        <v>40</v>
      </c>
      <c r="M200" s="10"/>
    </row>
    <row r="201" spans="1:13">
      <c r="A201" s="20" t="s">
        <v>1094</v>
      </c>
      <c r="B201" s="23">
        <v>10</v>
      </c>
      <c r="C201" s="26" t="s">
        <v>369</v>
      </c>
      <c r="D201" s="9" t="s">
        <v>409</v>
      </c>
      <c r="E201" s="9" t="s">
        <v>1095</v>
      </c>
      <c r="F201" s="9" t="s">
        <v>588</v>
      </c>
      <c r="G201" s="9" t="s">
        <v>177</v>
      </c>
      <c r="H201" s="14">
        <v>345000</v>
      </c>
      <c r="I201" s="17">
        <v>1</v>
      </c>
      <c r="J201" s="9" t="str">
        <f t="shared" si="3"/>
        <v>Stok Terbatas</v>
      </c>
      <c r="K201" s="9" t="s">
        <v>48</v>
      </c>
      <c r="L201" s="9" t="s">
        <v>40</v>
      </c>
      <c r="M201" s="10"/>
    </row>
    <row r="202" spans="1:13">
      <c r="A202" s="20" t="s">
        <v>1096</v>
      </c>
      <c r="B202" s="23">
        <v>10</v>
      </c>
      <c r="C202" s="26" t="s">
        <v>369</v>
      </c>
      <c r="D202" s="9" t="s">
        <v>409</v>
      </c>
      <c r="E202" s="9" t="s">
        <v>1097</v>
      </c>
      <c r="F202" s="9" t="s">
        <v>588</v>
      </c>
      <c r="G202" s="9" t="s">
        <v>606</v>
      </c>
      <c r="H202" s="14">
        <v>345000</v>
      </c>
      <c r="I202" s="17">
        <v>1</v>
      </c>
      <c r="J202" s="9" t="str">
        <f t="shared" si="3"/>
        <v>Stok Terbatas</v>
      </c>
      <c r="K202" s="9" t="s">
        <v>48</v>
      </c>
      <c r="L202" s="9" t="s">
        <v>40</v>
      </c>
      <c r="M202" s="10"/>
    </row>
    <row r="203" spans="1:13">
      <c r="A203" s="20" t="s">
        <v>1098</v>
      </c>
      <c r="B203" s="23">
        <v>10</v>
      </c>
      <c r="C203" s="26" t="s">
        <v>369</v>
      </c>
      <c r="D203" s="9" t="s">
        <v>409</v>
      </c>
      <c r="E203" s="9" t="s">
        <v>1099</v>
      </c>
      <c r="F203" s="9" t="s">
        <v>588</v>
      </c>
      <c r="G203" s="9" t="s">
        <v>399</v>
      </c>
      <c r="H203" s="14">
        <v>345000</v>
      </c>
      <c r="I203" s="17">
        <v>1</v>
      </c>
      <c r="J203" s="9" t="str">
        <f t="shared" si="3"/>
        <v>Stok Terbatas</v>
      </c>
      <c r="K203" s="9" t="s">
        <v>48</v>
      </c>
      <c r="L203" s="9" t="s">
        <v>40</v>
      </c>
      <c r="M203" s="10"/>
    </row>
    <row r="204" spans="1:13">
      <c r="A204" s="20" t="s">
        <v>1100</v>
      </c>
      <c r="B204" s="23">
        <v>10</v>
      </c>
      <c r="C204" s="26" t="s">
        <v>369</v>
      </c>
      <c r="D204" s="9" t="s">
        <v>409</v>
      </c>
      <c r="E204" s="9" t="s">
        <v>1101</v>
      </c>
      <c r="F204" s="9" t="s">
        <v>539</v>
      </c>
      <c r="G204" s="9" t="s">
        <v>177</v>
      </c>
      <c r="H204" s="14">
        <v>345000</v>
      </c>
      <c r="I204" s="17">
        <v>1</v>
      </c>
      <c r="J204" s="9" t="str">
        <f t="shared" si="3"/>
        <v>Stok Terbatas</v>
      </c>
      <c r="K204" s="9" t="s">
        <v>48</v>
      </c>
      <c r="L204" s="9" t="s">
        <v>40</v>
      </c>
      <c r="M204" s="10"/>
    </row>
    <row r="205" spans="1:13">
      <c r="A205" s="20" t="s">
        <v>1102</v>
      </c>
      <c r="B205" s="23">
        <v>10</v>
      </c>
      <c r="C205" s="26" t="s">
        <v>369</v>
      </c>
      <c r="D205" s="9" t="s">
        <v>409</v>
      </c>
      <c r="E205" s="9" t="s">
        <v>1103</v>
      </c>
      <c r="F205" s="9" t="s">
        <v>539</v>
      </c>
      <c r="G205" s="9" t="s">
        <v>399</v>
      </c>
      <c r="H205" s="14">
        <v>345000</v>
      </c>
      <c r="I205" s="17">
        <v>1</v>
      </c>
      <c r="J205" s="9" t="str">
        <f t="shared" si="3"/>
        <v>Stok Terbatas</v>
      </c>
      <c r="K205" s="9" t="s">
        <v>48</v>
      </c>
      <c r="L205" s="9" t="s">
        <v>40</v>
      </c>
      <c r="M205" s="10"/>
    </row>
    <row r="206" spans="1:13">
      <c r="A206" s="20" t="s">
        <v>1104</v>
      </c>
      <c r="B206" s="23">
        <v>11</v>
      </c>
      <c r="C206" s="26" t="s">
        <v>416</v>
      </c>
      <c r="D206" s="9" t="s">
        <v>414</v>
      </c>
      <c r="E206" s="9" t="s">
        <v>417</v>
      </c>
      <c r="F206" s="9"/>
      <c r="G206" s="9"/>
      <c r="H206" s="14">
        <v>30000</v>
      </c>
      <c r="I206" s="17">
        <v>11</v>
      </c>
      <c r="J206" s="9" t="str">
        <f t="shared" si="3"/>
        <v>Tersedia</v>
      </c>
      <c r="K206" s="9" t="s">
        <v>57</v>
      </c>
      <c r="L206" s="9" t="s">
        <v>40</v>
      </c>
      <c r="M206" s="10"/>
    </row>
    <row r="207" spans="1:13">
      <c r="A207" s="20" t="s">
        <v>1105</v>
      </c>
      <c r="B207" s="23">
        <v>11</v>
      </c>
      <c r="C207" s="26" t="s">
        <v>416</v>
      </c>
      <c r="D207" s="9" t="s">
        <v>418</v>
      </c>
      <c r="E207" s="9" t="s">
        <v>1106</v>
      </c>
      <c r="F207" s="9" t="s">
        <v>1107</v>
      </c>
      <c r="G207" s="9"/>
      <c r="H207" s="14">
        <v>52000</v>
      </c>
      <c r="I207" s="17">
        <v>1</v>
      </c>
      <c r="J207" s="9" t="str">
        <f t="shared" si="3"/>
        <v>Stok Terbatas</v>
      </c>
      <c r="K207" s="9" t="s">
        <v>57</v>
      </c>
      <c r="L207" s="9" t="s">
        <v>40</v>
      </c>
      <c r="M207" s="10"/>
    </row>
    <row r="208" spans="1:13">
      <c r="A208" s="20" t="s">
        <v>1108</v>
      </c>
      <c r="B208" s="23">
        <v>11</v>
      </c>
      <c r="C208" s="26" t="s">
        <v>416</v>
      </c>
      <c r="D208" s="9" t="s">
        <v>418</v>
      </c>
      <c r="E208" s="9" t="s">
        <v>1109</v>
      </c>
      <c r="F208" s="9" t="s">
        <v>398</v>
      </c>
      <c r="G208" s="9"/>
      <c r="H208" s="14">
        <v>52000</v>
      </c>
      <c r="I208" s="17">
        <v>2</v>
      </c>
      <c r="J208" s="9" t="str">
        <f t="shared" si="3"/>
        <v>Stok Terbatas</v>
      </c>
      <c r="K208" s="9" t="s">
        <v>57</v>
      </c>
      <c r="L208" s="9" t="s">
        <v>40</v>
      </c>
      <c r="M208" s="10"/>
    </row>
    <row r="209" spans="1:13">
      <c r="A209" s="20" t="s">
        <v>1110</v>
      </c>
      <c r="B209" s="23">
        <v>11</v>
      </c>
      <c r="C209" s="26" t="s">
        <v>416</v>
      </c>
      <c r="D209" s="9" t="s">
        <v>422</v>
      </c>
      <c r="E209" s="9" t="s">
        <v>1111</v>
      </c>
      <c r="F209" s="9" t="s">
        <v>425</v>
      </c>
      <c r="G209" s="9"/>
      <c r="H209" s="14">
        <v>49900</v>
      </c>
      <c r="I209" s="17">
        <v>1</v>
      </c>
      <c r="J209" s="9" t="str">
        <f t="shared" si="3"/>
        <v>Stok Terbatas</v>
      </c>
      <c r="K209" s="9" t="s">
        <v>57</v>
      </c>
      <c r="L209" s="9" t="s">
        <v>40</v>
      </c>
      <c r="M209" s="10"/>
    </row>
    <row r="210" spans="1:13">
      <c r="A210" s="20" t="s">
        <v>1112</v>
      </c>
      <c r="B210" s="23">
        <v>11</v>
      </c>
      <c r="C210" s="26" t="s">
        <v>416</v>
      </c>
      <c r="D210" s="9" t="s">
        <v>426</v>
      </c>
      <c r="E210" s="9" t="s">
        <v>1113</v>
      </c>
      <c r="F210" s="9" t="s">
        <v>425</v>
      </c>
      <c r="G210" s="9"/>
      <c r="H210" s="14">
        <v>45000</v>
      </c>
      <c r="I210" s="17">
        <v>2</v>
      </c>
      <c r="J210" s="9" t="str">
        <f t="shared" si="3"/>
        <v>Stok Terbatas</v>
      </c>
      <c r="K210" s="9" t="s">
        <v>57</v>
      </c>
      <c r="L210" s="9" t="s">
        <v>40</v>
      </c>
      <c r="M210" s="10"/>
    </row>
    <row r="211" spans="1:13">
      <c r="A211" s="20" t="s">
        <v>1114</v>
      </c>
      <c r="B211" s="23">
        <v>11</v>
      </c>
      <c r="C211" s="26" t="s">
        <v>416</v>
      </c>
      <c r="D211" s="9" t="s">
        <v>426</v>
      </c>
      <c r="E211" s="9" t="s">
        <v>1115</v>
      </c>
      <c r="F211" s="9" t="s">
        <v>1116</v>
      </c>
      <c r="G211" s="9"/>
      <c r="H211" s="14">
        <v>45000</v>
      </c>
      <c r="I211" s="17">
        <v>1</v>
      </c>
      <c r="J211" s="9" t="str">
        <f t="shared" si="3"/>
        <v>Stok Terbatas</v>
      </c>
      <c r="K211" s="9" t="s">
        <v>57</v>
      </c>
      <c r="L211" s="9" t="s">
        <v>40</v>
      </c>
      <c r="M211" s="10"/>
    </row>
    <row r="212" spans="1:13">
      <c r="A212" s="20" t="s">
        <v>1117</v>
      </c>
      <c r="B212" s="23">
        <v>11</v>
      </c>
      <c r="C212" s="26" t="s">
        <v>416</v>
      </c>
      <c r="D212" s="9" t="s">
        <v>430</v>
      </c>
      <c r="E212" s="9" t="s">
        <v>1118</v>
      </c>
      <c r="F212" s="9" t="s">
        <v>433</v>
      </c>
      <c r="G212" s="9"/>
      <c r="H212" s="14">
        <v>115000</v>
      </c>
      <c r="I212" s="17">
        <v>1</v>
      </c>
      <c r="J212" s="9" t="str">
        <f t="shared" si="3"/>
        <v>Stok Terbatas</v>
      </c>
      <c r="K212" s="9" t="s">
        <v>239</v>
      </c>
      <c r="L212" s="9" t="s">
        <v>40</v>
      </c>
      <c r="M212" s="10"/>
    </row>
    <row r="213" spans="1:13">
      <c r="A213" s="20" t="s">
        <v>1119</v>
      </c>
      <c r="B213" s="23">
        <v>12</v>
      </c>
      <c r="C213" s="26" t="s">
        <v>436</v>
      </c>
      <c r="D213" s="9" t="s">
        <v>434</v>
      </c>
      <c r="E213" s="9" t="s">
        <v>437</v>
      </c>
      <c r="F213" s="9"/>
      <c r="G213" s="9"/>
      <c r="H213" s="14">
        <v>85000</v>
      </c>
      <c r="I213" s="17">
        <v>2</v>
      </c>
      <c r="J213" s="9" t="str">
        <f t="shared" si="3"/>
        <v>Stok Terbatas</v>
      </c>
      <c r="K213" s="9" t="s">
        <v>57</v>
      </c>
      <c r="L213" s="9" t="s">
        <v>40</v>
      </c>
      <c r="M213" s="10"/>
    </row>
    <row r="214" spans="1:13">
      <c r="A214" s="20" t="s">
        <v>1120</v>
      </c>
      <c r="B214" s="23">
        <v>12</v>
      </c>
      <c r="C214" s="26" t="s">
        <v>436</v>
      </c>
      <c r="D214" s="9" t="s">
        <v>438</v>
      </c>
      <c r="E214" s="9" t="s">
        <v>440</v>
      </c>
      <c r="F214" s="9"/>
      <c r="G214" s="9"/>
      <c r="H214" s="14">
        <v>75000</v>
      </c>
      <c r="I214" s="17">
        <v>2</v>
      </c>
      <c r="J214" s="9" t="str">
        <f t="shared" si="3"/>
        <v>Stok Terbatas</v>
      </c>
      <c r="K214" s="9" t="s">
        <v>57</v>
      </c>
      <c r="L214" s="9" t="s">
        <v>40</v>
      </c>
      <c r="M214" s="10"/>
    </row>
    <row r="215" spans="1:13">
      <c r="A215" s="20" t="s">
        <v>1121</v>
      </c>
      <c r="B215" s="23">
        <v>12</v>
      </c>
      <c r="C215" s="26" t="s">
        <v>436</v>
      </c>
      <c r="D215" s="9" t="s">
        <v>441</v>
      </c>
      <c r="E215" s="9" t="s">
        <v>443</v>
      </c>
      <c r="F215" s="9"/>
      <c r="G215" s="9"/>
      <c r="H215" s="14">
        <v>75000</v>
      </c>
      <c r="I215" s="17">
        <v>1</v>
      </c>
      <c r="J215" s="9" t="str">
        <f t="shared" si="3"/>
        <v>Stok Terbatas</v>
      </c>
      <c r="K215" s="9" t="s">
        <v>57</v>
      </c>
      <c r="L215" s="9" t="s">
        <v>40</v>
      </c>
      <c r="M215" s="10"/>
    </row>
    <row r="216" spans="1:13">
      <c r="A216" s="20" t="s">
        <v>1122</v>
      </c>
      <c r="B216" s="23">
        <v>12</v>
      </c>
      <c r="C216" s="26" t="s">
        <v>436</v>
      </c>
      <c r="D216" s="9" t="s">
        <v>444</v>
      </c>
      <c r="E216" s="9" t="s">
        <v>446</v>
      </c>
      <c r="F216" s="9"/>
      <c r="G216" s="9"/>
      <c r="H216" s="14">
        <v>85000</v>
      </c>
      <c r="I216" s="17">
        <v>1</v>
      </c>
      <c r="J216" s="9" t="str">
        <f t="shared" si="3"/>
        <v>Stok Terbatas</v>
      </c>
      <c r="K216" s="9" t="s">
        <v>57</v>
      </c>
      <c r="L216" s="9" t="s">
        <v>40</v>
      </c>
      <c r="M216" s="10"/>
    </row>
    <row r="217" spans="1:13">
      <c r="A217" s="20" t="s">
        <v>1123</v>
      </c>
      <c r="B217" s="23">
        <v>12</v>
      </c>
      <c r="C217" s="26" t="s">
        <v>436</v>
      </c>
      <c r="D217" s="9" t="s">
        <v>513</v>
      </c>
      <c r="E217" s="9" t="s">
        <v>1124</v>
      </c>
      <c r="F217" s="9" t="s">
        <v>1125</v>
      </c>
      <c r="G217" s="9"/>
      <c r="H217" s="14">
        <v>215000</v>
      </c>
      <c r="I217" s="17">
        <v>1</v>
      </c>
      <c r="J217" s="9" t="str">
        <f t="shared" si="3"/>
        <v>Stok Terbatas</v>
      </c>
      <c r="K217" s="9" t="s">
        <v>121</v>
      </c>
      <c r="L217" s="9" t="s">
        <v>40</v>
      </c>
      <c r="M217" s="10"/>
    </row>
    <row r="218" spans="1:13">
      <c r="A218" s="20" t="s">
        <v>1126</v>
      </c>
      <c r="B218" s="23">
        <v>12</v>
      </c>
      <c r="C218" s="26" t="s">
        <v>436</v>
      </c>
      <c r="D218" s="9" t="s">
        <v>513</v>
      </c>
      <c r="E218" s="9" t="s">
        <v>1127</v>
      </c>
      <c r="F218" s="9" t="s">
        <v>1128</v>
      </c>
      <c r="G218" s="9"/>
      <c r="H218" s="14">
        <v>215000</v>
      </c>
      <c r="I218" s="17">
        <v>1</v>
      </c>
      <c r="J218" s="9" t="str">
        <f t="shared" si="3"/>
        <v>Stok Terbatas</v>
      </c>
      <c r="K218" s="9" t="s">
        <v>121</v>
      </c>
      <c r="L218" s="9" t="s">
        <v>40</v>
      </c>
      <c r="M218" s="10"/>
    </row>
    <row r="219" spans="1:13">
      <c r="A219" s="20" t="s">
        <v>1129</v>
      </c>
      <c r="B219" s="23">
        <v>12</v>
      </c>
      <c r="C219" s="26" t="s">
        <v>436</v>
      </c>
      <c r="D219" s="9" t="s">
        <v>513</v>
      </c>
      <c r="E219" s="9" t="s">
        <v>1130</v>
      </c>
      <c r="F219" s="9" t="s">
        <v>1128</v>
      </c>
      <c r="G219" s="9" t="s">
        <v>1131</v>
      </c>
      <c r="H219" s="14">
        <v>215000</v>
      </c>
      <c r="I219" s="17">
        <v>1</v>
      </c>
      <c r="J219" s="9" t="str">
        <f t="shared" si="3"/>
        <v>Stok Terbatas</v>
      </c>
      <c r="K219" s="9" t="s">
        <v>121</v>
      </c>
      <c r="L219" s="9" t="s">
        <v>40</v>
      </c>
      <c r="M219" s="10"/>
    </row>
    <row r="220" spans="1:13">
      <c r="A220" s="20" t="s">
        <v>1132</v>
      </c>
      <c r="B220" s="23">
        <v>12</v>
      </c>
      <c r="C220" s="26" t="s">
        <v>436</v>
      </c>
      <c r="D220" s="9" t="s">
        <v>513</v>
      </c>
      <c r="E220" s="9" t="s">
        <v>1133</v>
      </c>
      <c r="F220" s="9" t="s">
        <v>398</v>
      </c>
      <c r="G220" s="9"/>
      <c r="H220" s="14">
        <v>215000</v>
      </c>
      <c r="I220" s="17">
        <v>1</v>
      </c>
      <c r="J220" s="9" t="str">
        <f t="shared" si="3"/>
        <v>Stok Terbatas</v>
      </c>
      <c r="K220" s="9" t="s">
        <v>121</v>
      </c>
      <c r="L220" s="9" t="s">
        <v>40</v>
      </c>
      <c r="M220" s="10"/>
    </row>
    <row r="221" spans="1:13">
      <c r="A221" s="20" t="s">
        <v>1134</v>
      </c>
      <c r="B221" s="23">
        <v>12</v>
      </c>
      <c r="C221" s="26" t="s">
        <v>436</v>
      </c>
      <c r="D221" s="9" t="s">
        <v>513</v>
      </c>
      <c r="E221" s="9" t="s">
        <v>1135</v>
      </c>
      <c r="F221" s="9" t="s">
        <v>398</v>
      </c>
      <c r="G221" s="9" t="s">
        <v>1136</v>
      </c>
      <c r="H221" s="14">
        <v>215000</v>
      </c>
      <c r="I221" s="17">
        <v>1</v>
      </c>
      <c r="J221" s="9" t="str">
        <f t="shared" si="3"/>
        <v>Stok Terbatas</v>
      </c>
      <c r="K221" s="9" t="s">
        <v>121</v>
      </c>
      <c r="L221" s="9" t="s">
        <v>40</v>
      </c>
      <c r="M221" s="10"/>
    </row>
    <row r="222" spans="1:13">
      <c r="A222" s="20" t="s">
        <v>1137</v>
      </c>
      <c r="B222" s="23">
        <v>12</v>
      </c>
      <c r="C222" s="26" t="s">
        <v>436</v>
      </c>
      <c r="D222" s="9" t="s">
        <v>447</v>
      </c>
      <c r="E222" s="9" t="s">
        <v>449</v>
      </c>
      <c r="F222" s="9"/>
      <c r="G222" s="9"/>
      <c r="H222" s="14">
        <v>90000</v>
      </c>
      <c r="I222" s="17">
        <v>1</v>
      </c>
      <c r="J222" s="9" t="str">
        <f t="shared" si="3"/>
        <v>Stok Terbatas</v>
      </c>
      <c r="K222" s="9" t="s">
        <v>57</v>
      </c>
      <c r="L222" s="9" t="s">
        <v>40</v>
      </c>
      <c r="M222" s="10"/>
    </row>
    <row r="223" spans="1:13">
      <c r="A223" s="20" t="s">
        <v>1138</v>
      </c>
      <c r="B223" s="23">
        <v>12</v>
      </c>
      <c r="C223" s="26" t="s">
        <v>436</v>
      </c>
      <c r="D223" s="9" t="s">
        <v>450</v>
      </c>
      <c r="E223" s="9" t="s">
        <v>452</v>
      </c>
      <c r="F223" s="9"/>
      <c r="G223" s="9"/>
      <c r="H223" s="14">
        <v>70000</v>
      </c>
      <c r="I223" s="17">
        <v>2</v>
      </c>
      <c r="J223" s="9" t="str">
        <f t="shared" si="3"/>
        <v>Stok Terbatas</v>
      </c>
      <c r="K223" s="9" t="s">
        <v>57</v>
      </c>
      <c r="L223" s="9" t="s">
        <v>40</v>
      </c>
      <c r="M223" s="10"/>
    </row>
    <row r="224" spans="1:13">
      <c r="A224" s="20" t="s">
        <v>1139</v>
      </c>
      <c r="B224" s="23">
        <v>12</v>
      </c>
      <c r="C224" s="26" t="s">
        <v>436</v>
      </c>
      <c r="D224" s="9" t="s">
        <v>453</v>
      </c>
      <c r="E224" s="9" t="s">
        <v>1140</v>
      </c>
      <c r="F224" s="9" t="s">
        <v>142</v>
      </c>
      <c r="G224" s="9"/>
      <c r="H224" s="14">
        <v>59500</v>
      </c>
      <c r="I224" s="17">
        <v>1</v>
      </c>
      <c r="J224" s="9" t="str">
        <f t="shared" si="3"/>
        <v>Stok Terbatas</v>
      </c>
      <c r="K224" s="9" t="s">
        <v>57</v>
      </c>
      <c r="L224" s="9" t="s">
        <v>40</v>
      </c>
      <c r="M224" s="10"/>
    </row>
    <row r="225" spans="1:13">
      <c r="A225" s="20" t="s">
        <v>1141</v>
      </c>
      <c r="B225" s="23">
        <v>12</v>
      </c>
      <c r="C225" s="26" t="s">
        <v>436</v>
      </c>
      <c r="D225" s="9" t="s">
        <v>456</v>
      </c>
      <c r="E225" s="9" t="s">
        <v>458</v>
      </c>
      <c r="F225" s="9"/>
      <c r="G225" s="9"/>
      <c r="H225" s="14">
        <v>145000</v>
      </c>
      <c r="I225" s="17">
        <v>2</v>
      </c>
      <c r="J225" s="9" t="str">
        <f t="shared" si="3"/>
        <v>Stok Terbatas</v>
      </c>
      <c r="K225" s="9" t="s">
        <v>57</v>
      </c>
      <c r="L225" s="9" t="s">
        <v>40</v>
      </c>
      <c r="M225" s="10"/>
    </row>
    <row r="226" spans="1:13">
      <c r="A226" s="20" t="s">
        <v>1142</v>
      </c>
      <c r="B226" s="23">
        <v>12</v>
      </c>
      <c r="C226" s="26" t="s">
        <v>436</v>
      </c>
      <c r="D226" s="9" t="s">
        <v>459</v>
      </c>
      <c r="E226" s="9" t="s">
        <v>461</v>
      </c>
      <c r="F226" s="9"/>
      <c r="G226" s="9"/>
      <c r="H226" s="14">
        <v>50000</v>
      </c>
      <c r="I226" s="17">
        <v>1</v>
      </c>
      <c r="J226" s="9" t="str">
        <f t="shared" si="3"/>
        <v>Stok Terbatas</v>
      </c>
      <c r="K226" s="9" t="s">
        <v>57</v>
      </c>
      <c r="L226" s="9" t="s">
        <v>40</v>
      </c>
      <c r="M226" s="10"/>
    </row>
    <row r="227" spans="1:13">
      <c r="A227" s="20" t="s">
        <v>1143</v>
      </c>
      <c r="B227" s="23">
        <v>12</v>
      </c>
      <c r="C227" s="26" t="s">
        <v>436</v>
      </c>
      <c r="D227" s="9" t="s">
        <v>518</v>
      </c>
      <c r="E227" s="9" t="s">
        <v>1144</v>
      </c>
      <c r="F227" s="9" t="s">
        <v>521</v>
      </c>
      <c r="G227" s="9"/>
      <c r="H227" s="14">
        <v>199000</v>
      </c>
      <c r="I227" s="17">
        <v>1</v>
      </c>
      <c r="J227" s="9" t="str">
        <f t="shared" si="3"/>
        <v>Stok Terbatas</v>
      </c>
      <c r="K227" s="9" t="s">
        <v>48</v>
      </c>
      <c r="L227" s="9" t="s">
        <v>40</v>
      </c>
      <c r="M227" s="10"/>
    </row>
    <row r="228" spans="1:13">
      <c r="A228" s="20" t="s">
        <v>1145</v>
      </c>
      <c r="B228" s="23">
        <v>12</v>
      </c>
      <c r="C228" s="26" t="s">
        <v>436</v>
      </c>
      <c r="D228" s="9" t="s">
        <v>462</v>
      </c>
      <c r="E228" s="9" t="s">
        <v>1146</v>
      </c>
      <c r="F228" s="9" t="s">
        <v>372</v>
      </c>
      <c r="G228" s="9"/>
      <c r="H228" s="14">
        <v>148000</v>
      </c>
      <c r="I228" s="17">
        <v>1</v>
      </c>
      <c r="J228" s="9" t="str">
        <f t="shared" si="3"/>
        <v>Stok Terbatas</v>
      </c>
      <c r="K228" s="9" t="s">
        <v>57</v>
      </c>
      <c r="L228" s="9" t="s">
        <v>40</v>
      </c>
      <c r="M228" s="10"/>
    </row>
    <row r="229" spans="1:13">
      <c r="A229" s="20" t="s">
        <v>1147</v>
      </c>
      <c r="B229" s="23">
        <v>12</v>
      </c>
      <c r="C229" s="26" t="s">
        <v>436</v>
      </c>
      <c r="D229" s="9" t="s">
        <v>462</v>
      </c>
      <c r="E229" s="9" t="s">
        <v>1148</v>
      </c>
      <c r="F229" s="9" t="s">
        <v>1149</v>
      </c>
      <c r="G229" s="9"/>
      <c r="H229" s="14">
        <v>148000</v>
      </c>
      <c r="I229" s="17">
        <v>2</v>
      </c>
      <c r="J229" s="9" t="str">
        <f t="shared" si="3"/>
        <v>Stok Terbatas</v>
      </c>
      <c r="K229" s="9" t="s">
        <v>57</v>
      </c>
      <c r="L229" s="9" t="s">
        <v>40</v>
      </c>
      <c r="M229" s="10"/>
    </row>
    <row r="230" spans="1:13">
      <c r="A230" s="20" t="s">
        <v>1150</v>
      </c>
      <c r="B230" s="23">
        <v>12</v>
      </c>
      <c r="C230" s="26" t="s">
        <v>436</v>
      </c>
      <c r="D230" s="9" t="s">
        <v>500</v>
      </c>
      <c r="E230" s="9" t="s">
        <v>1151</v>
      </c>
      <c r="F230" s="9" t="s">
        <v>1152</v>
      </c>
      <c r="G230" s="9"/>
      <c r="H230" s="14">
        <v>129000</v>
      </c>
      <c r="I230" s="17">
        <v>1</v>
      </c>
      <c r="J230" s="9" t="str">
        <f t="shared" si="3"/>
        <v>Stok Terbatas</v>
      </c>
      <c r="K230" s="9" t="s">
        <v>239</v>
      </c>
      <c r="L230" s="9" t="s">
        <v>40</v>
      </c>
      <c r="M230" s="10"/>
    </row>
    <row r="231" spans="1:13">
      <c r="A231" s="20" t="s">
        <v>1153</v>
      </c>
      <c r="B231" s="23">
        <v>12</v>
      </c>
      <c r="C231" s="26" t="s">
        <v>436</v>
      </c>
      <c r="D231" s="9" t="s">
        <v>500</v>
      </c>
      <c r="E231" s="9" t="s">
        <v>1154</v>
      </c>
      <c r="F231" s="9" t="s">
        <v>1155</v>
      </c>
      <c r="G231" s="9"/>
      <c r="H231" s="14">
        <v>129000</v>
      </c>
      <c r="I231" s="17">
        <v>1</v>
      </c>
      <c r="J231" s="9" t="str">
        <f t="shared" si="3"/>
        <v>Stok Terbatas</v>
      </c>
      <c r="K231" s="9" t="s">
        <v>239</v>
      </c>
      <c r="L231" s="9" t="s">
        <v>40</v>
      </c>
      <c r="M231" s="10"/>
    </row>
    <row r="232" spans="1:13">
      <c r="A232" s="20" t="s">
        <v>1156</v>
      </c>
      <c r="B232" s="23">
        <v>12</v>
      </c>
      <c r="C232" s="26" t="s">
        <v>436</v>
      </c>
      <c r="D232" s="9" t="s">
        <v>522</v>
      </c>
      <c r="E232" s="9" t="s">
        <v>1157</v>
      </c>
      <c r="F232" s="9" t="s">
        <v>372</v>
      </c>
      <c r="G232" s="9" t="s">
        <v>122</v>
      </c>
      <c r="H232" s="14">
        <v>379000</v>
      </c>
      <c r="I232" s="17">
        <v>1</v>
      </c>
      <c r="J232" s="9" t="str">
        <f t="shared" si="3"/>
        <v>Stok Terbatas</v>
      </c>
      <c r="K232" s="9" t="s">
        <v>48</v>
      </c>
      <c r="L232" s="9" t="s">
        <v>40</v>
      </c>
      <c r="M232" s="10"/>
    </row>
    <row r="233" spans="1:13">
      <c r="A233" s="20" t="s">
        <v>1158</v>
      </c>
      <c r="B233" s="23">
        <v>12</v>
      </c>
      <c r="C233" s="26" t="s">
        <v>436</v>
      </c>
      <c r="D233" s="9" t="s">
        <v>522</v>
      </c>
      <c r="E233" s="9" t="s">
        <v>1159</v>
      </c>
      <c r="F233" s="9" t="s">
        <v>1160</v>
      </c>
      <c r="G233" s="9" t="s">
        <v>1161</v>
      </c>
      <c r="H233" s="14">
        <v>379000</v>
      </c>
      <c r="I233" s="17">
        <v>1</v>
      </c>
      <c r="J233" s="9" t="str">
        <f t="shared" si="3"/>
        <v>Stok Terbatas</v>
      </c>
      <c r="K233" s="9" t="s">
        <v>48</v>
      </c>
      <c r="L233" s="9" t="s">
        <v>40</v>
      </c>
      <c r="M233" s="10"/>
    </row>
    <row r="234" spans="1:13">
      <c r="A234" s="20" t="s">
        <v>1162</v>
      </c>
      <c r="B234" s="23">
        <v>12</v>
      </c>
      <c r="C234" s="26" t="s">
        <v>436</v>
      </c>
      <c r="D234" s="9" t="s">
        <v>522</v>
      </c>
      <c r="E234" s="9" t="s">
        <v>1163</v>
      </c>
      <c r="F234" s="9" t="s">
        <v>1160</v>
      </c>
      <c r="G234" s="9" t="s">
        <v>122</v>
      </c>
      <c r="H234" s="14">
        <v>379000</v>
      </c>
      <c r="I234" s="17">
        <v>1</v>
      </c>
      <c r="J234" s="9" t="str">
        <f t="shared" si="3"/>
        <v>Stok Terbatas</v>
      </c>
      <c r="K234" s="9" t="s">
        <v>48</v>
      </c>
      <c r="L234" s="9" t="s">
        <v>40</v>
      </c>
      <c r="M234" s="10"/>
    </row>
    <row r="235" spans="1:13">
      <c r="A235" s="20" t="s">
        <v>1164</v>
      </c>
      <c r="B235" s="23">
        <v>12</v>
      </c>
      <c r="C235" s="26" t="s">
        <v>436</v>
      </c>
      <c r="D235" s="9" t="s">
        <v>466</v>
      </c>
      <c r="E235" s="9" t="s">
        <v>468</v>
      </c>
      <c r="F235" s="9"/>
      <c r="G235" s="9"/>
      <c r="H235" s="14">
        <v>50000</v>
      </c>
      <c r="I235" s="17">
        <v>1</v>
      </c>
      <c r="J235" s="9" t="str">
        <f t="shared" si="3"/>
        <v>Stok Terbatas</v>
      </c>
      <c r="K235" s="9" t="s">
        <v>57</v>
      </c>
      <c r="L235" s="9" t="s">
        <v>40</v>
      </c>
      <c r="M235" s="10"/>
    </row>
    <row r="236" spans="1:13">
      <c r="A236" s="20" t="s">
        <v>1165</v>
      </c>
      <c r="B236" s="23">
        <v>12</v>
      </c>
      <c r="C236" s="26" t="s">
        <v>436</v>
      </c>
      <c r="D236" s="9" t="s">
        <v>469</v>
      </c>
      <c r="E236" s="9" t="s">
        <v>471</v>
      </c>
      <c r="F236" s="9"/>
      <c r="G236" s="9"/>
      <c r="H236" s="14">
        <v>45000</v>
      </c>
      <c r="I236" s="17">
        <v>2</v>
      </c>
      <c r="J236" s="9" t="str">
        <f t="shared" si="3"/>
        <v>Stok Terbatas</v>
      </c>
      <c r="K236" s="9" t="s">
        <v>57</v>
      </c>
      <c r="L236" s="9" t="s">
        <v>40</v>
      </c>
      <c r="M236" s="10"/>
    </row>
    <row r="237" spans="1:13">
      <c r="A237" s="20" t="s">
        <v>1166</v>
      </c>
      <c r="B237" s="23">
        <v>12</v>
      </c>
      <c r="C237" s="26" t="s">
        <v>436</v>
      </c>
      <c r="D237" s="9" t="s">
        <v>472</v>
      </c>
      <c r="E237" s="9" t="s">
        <v>474</v>
      </c>
      <c r="F237" s="9"/>
      <c r="G237" s="9"/>
      <c r="H237" s="14">
        <v>75000</v>
      </c>
      <c r="I237" s="17">
        <v>1</v>
      </c>
      <c r="J237" s="9" t="str">
        <f t="shared" si="3"/>
        <v>Stok Terbatas</v>
      </c>
      <c r="K237" s="9" t="s">
        <v>57</v>
      </c>
      <c r="L237" s="9" t="s">
        <v>40</v>
      </c>
      <c r="M237" s="10"/>
    </row>
    <row r="238" spans="1:13">
      <c r="A238" s="20" t="s">
        <v>1167</v>
      </c>
      <c r="B238" s="23">
        <v>12</v>
      </c>
      <c r="C238" s="26" t="s">
        <v>436</v>
      </c>
      <c r="D238" s="9" t="s">
        <v>504</v>
      </c>
      <c r="E238" s="9" t="s">
        <v>1168</v>
      </c>
      <c r="F238" s="9" t="s">
        <v>1152</v>
      </c>
      <c r="G238" s="9"/>
      <c r="H238" s="14">
        <v>129000</v>
      </c>
      <c r="I238" s="17">
        <v>1</v>
      </c>
      <c r="J238" s="9" t="str">
        <f t="shared" si="3"/>
        <v>Stok Terbatas</v>
      </c>
      <c r="K238" s="9" t="s">
        <v>239</v>
      </c>
      <c r="L238" s="9" t="s">
        <v>40</v>
      </c>
      <c r="M238" s="10"/>
    </row>
    <row r="239" spans="1:13">
      <c r="A239" s="20" t="s">
        <v>1169</v>
      </c>
      <c r="B239" s="23">
        <v>12</v>
      </c>
      <c r="C239" s="26" t="s">
        <v>436</v>
      </c>
      <c r="D239" s="9" t="s">
        <v>504</v>
      </c>
      <c r="E239" s="9" t="s">
        <v>1170</v>
      </c>
      <c r="F239" s="9" t="s">
        <v>1171</v>
      </c>
      <c r="G239" s="9"/>
      <c r="H239" s="14">
        <v>129000</v>
      </c>
      <c r="I239" s="17">
        <v>1</v>
      </c>
      <c r="J239" s="9" t="str">
        <f t="shared" si="3"/>
        <v>Stok Terbatas</v>
      </c>
      <c r="K239" s="9" t="s">
        <v>239</v>
      </c>
      <c r="L239" s="9" t="s">
        <v>40</v>
      </c>
      <c r="M239" s="10"/>
    </row>
    <row r="240" spans="1:13">
      <c r="A240" s="20" t="s">
        <v>1172</v>
      </c>
      <c r="B240" s="23">
        <v>12</v>
      </c>
      <c r="C240" s="26" t="s">
        <v>436</v>
      </c>
      <c r="D240" s="9" t="s">
        <v>504</v>
      </c>
      <c r="E240" s="9" t="s">
        <v>1173</v>
      </c>
      <c r="F240" s="9" t="s">
        <v>1174</v>
      </c>
      <c r="G240" s="9"/>
      <c r="H240" s="14">
        <v>129000</v>
      </c>
      <c r="I240" s="17">
        <v>1</v>
      </c>
      <c r="J240" s="9" t="str">
        <f t="shared" si="3"/>
        <v>Stok Terbatas</v>
      </c>
      <c r="K240" s="9" t="s">
        <v>239</v>
      </c>
      <c r="L240" s="9" t="s">
        <v>40</v>
      </c>
      <c r="M240" s="10"/>
    </row>
    <row r="241" spans="1:13">
      <c r="A241" s="20" t="s">
        <v>1175</v>
      </c>
      <c r="B241" s="23">
        <v>12</v>
      </c>
      <c r="C241" s="26" t="s">
        <v>436</v>
      </c>
      <c r="D241" s="9" t="s">
        <v>527</v>
      </c>
      <c r="E241" s="9" t="s">
        <v>1176</v>
      </c>
      <c r="F241" s="9" t="s">
        <v>372</v>
      </c>
      <c r="G241" s="9"/>
      <c r="H241" s="14">
        <v>299000</v>
      </c>
      <c r="I241" s="17">
        <v>2</v>
      </c>
      <c r="J241" s="9" t="str">
        <f t="shared" si="3"/>
        <v>Stok Terbatas</v>
      </c>
      <c r="K241" s="9" t="s">
        <v>48</v>
      </c>
      <c r="L241" s="9" t="s">
        <v>40</v>
      </c>
      <c r="M241" s="10"/>
    </row>
    <row r="242" spans="1:13">
      <c r="A242" s="20" t="s">
        <v>1177</v>
      </c>
      <c r="B242" s="23">
        <v>12</v>
      </c>
      <c r="C242" s="26" t="s">
        <v>436</v>
      </c>
      <c r="D242" s="9" t="s">
        <v>527</v>
      </c>
      <c r="E242" s="9" t="s">
        <v>1178</v>
      </c>
      <c r="F242" s="9" t="s">
        <v>1179</v>
      </c>
      <c r="G242" s="9"/>
      <c r="H242" s="14">
        <v>299000</v>
      </c>
      <c r="I242" s="17">
        <v>1</v>
      </c>
      <c r="J242" s="9" t="str">
        <f t="shared" si="3"/>
        <v>Stok Terbatas</v>
      </c>
      <c r="K242" s="9" t="s">
        <v>48</v>
      </c>
      <c r="L242" s="9" t="s">
        <v>40</v>
      </c>
      <c r="M242" s="10"/>
    </row>
    <row r="243" spans="1:13">
      <c r="A243" s="20" t="s">
        <v>1180</v>
      </c>
      <c r="B243" s="23">
        <v>12</v>
      </c>
      <c r="C243" s="26" t="s">
        <v>436</v>
      </c>
      <c r="D243" s="9" t="s">
        <v>496</v>
      </c>
      <c r="E243" s="9" t="s">
        <v>1181</v>
      </c>
      <c r="F243" s="9" t="s">
        <v>499</v>
      </c>
      <c r="G243" s="9"/>
      <c r="H243" s="14">
        <v>300000</v>
      </c>
      <c r="I243" s="17">
        <v>1</v>
      </c>
      <c r="J243" s="9" t="str">
        <f t="shared" si="3"/>
        <v>Stok Terbatas</v>
      </c>
      <c r="K243" s="9" t="s">
        <v>371</v>
      </c>
      <c r="L243" s="9" t="s">
        <v>40</v>
      </c>
      <c r="M243" s="10"/>
    </row>
    <row r="244" spans="1:13">
      <c r="A244" s="20" t="s">
        <v>1182</v>
      </c>
      <c r="B244" s="23">
        <v>12</v>
      </c>
      <c r="C244" s="26" t="s">
        <v>436</v>
      </c>
      <c r="D244" s="9" t="s">
        <v>475</v>
      </c>
      <c r="E244" s="9" t="s">
        <v>1183</v>
      </c>
      <c r="F244" s="9" t="s">
        <v>478</v>
      </c>
      <c r="G244" s="9"/>
      <c r="H244" s="14">
        <v>100000</v>
      </c>
      <c r="I244" s="17">
        <v>2</v>
      </c>
      <c r="J244" s="9" t="str">
        <f t="shared" si="3"/>
        <v>Stok Terbatas</v>
      </c>
      <c r="K244" s="9" t="s">
        <v>57</v>
      </c>
      <c r="L244" s="9" t="s">
        <v>40</v>
      </c>
      <c r="M244" s="10"/>
    </row>
    <row r="245" spans="1:13">
      <c r="A245" s="20" t="s">
        <v>1184</v>
      </c>
      <c r="B245" s="23">
        <v>12</v>
      </c>
      <c r="C245" s="26" t="s">
        <v>436</v>
      </c>
      <c r="D245" s="9" t="s">
        <v>479</v>
      </c>
      <c r="E245" s="9" t="s">
        <v>481</v>
      </c>
      <c r="F245" s="9"/>
      <c r="G245" s="9"/>
      <c r="H245" s="14">
        <v>70000</v>
      </c>
      <c r="I245" s="17">
        <v>2</v>
      </c>
      <c r="J245" s="9" t="str">
        <f t="shared" si="3"/>
        <v>Stok Terbatas</v>
      </c>
      <c r="K245" s="9" t="s">
        <v>57</v>
      </c>
      <c r="L245" s="9" t="s">
        <v>40</v>
      </c>
      <c r="M245" s="10"/>
    </row>
    <row r="246" spans="1:13">
      <c r="A246" s="20" t="s">
        <v>1185</v>
      </c>
      <c r="B246" s="23">
        <v>12</v>
      </c>
      <c r="C246" s="26" t="s">
        <v>436</v>
      </c>
      <c r="D246" s="9" t="s">
        <v>482</v>
      </c>
      <c r="E246" s="9" t="s">
        <v>484</v>
      </c>
      <c r="F246" s="9"/>
      <c r="G246" s="9"/>
      <c r="H246" s="14">
        <v>75000</v>
      </c>
      <c r="I246" s="17">
        <v>2</v>
      </c>
      <c r="J246" s="9" t="str">
        <f t="shared" si="3"/>
        <v>Stok Terbatas</v>
      </c>
      <c r="K246" s="9" t="s">
        <v>57</v>
      </c>
      <c r="L246" s="9" t="s">
        <v>40</v>
      </c>
      <c r="M246" s="10"/>
    </row>
    <row r="247" spans="1:13">
      <c r="A247" s="20" t="s">
        <v>1186</v>
      </c>
      <c r="B247" s="23">
        <v>12</v>
      </c>
      <c r="C247" s="26" t="s">
        <v>436</v>
      </c>
      <c r="D247" s="9" t="s">
        <v>485</v>
      </c>
      <c r="E247" s="9" t="s">
        <v>487</v>
      </c>
      <c r="F247" s="9"/>
      <c r="G247" s="9"/>
      <c r="H247" s="14">
        <v>70000</v>
      </c>
      <c r="I247" s="17">
        <v>2</v>
      </c>
      <c r="J247" s="9" t="str">
        <f t="shared" si="3"/>
        <v>Stok Terbatas</v>
      </c>
      <c r="K247" s="9" t="s">
        <v>57</v>
      </c>
      <c r="L247" s="9" t="s">
        <v>40</v>
      </c>
      <c r="M247" s="10"/>
    </row>
    <row r="248" spans="1:13">
      <c r="A248" s="20" t="s">
        <v>1187</v>
      </c>
      <c r="B248" s="23">
        <v>12</v>
      </c>
      <c r="C248" s="26" t="s">
        <v>436</v>
      </c>
      <c r="D248" s="9" t="s">
        <v>488</v>
      </c>
      <c r="E248" s="9" t="s">
        <v>1188</v>
      </c>
      <c r="F248" s="9" t="s">
        <v>372</v>
      </c>
      <c r="G248" s="9"/>
      <c r="H248" s="14">
        <v>135000</v>
      </c>
      <c r="I248" s="17">
        <v>1</v>
      </c>
      <c r="J248" s="9" t="str">
        <f t="shared" si="3"/>
        <v>Stok Terbatas</v>
      </c>
      <c r="K248" s="9" t="s">
        <v>57</v>
      </c>
      <c r="L248" s="9" t="s">
        <v>40</v>
      </c>
      <c r="M248" s="10"/>
    </row>
    <row r="249" spans="1:13">
      <c r="A249" s="20" t="s">
        <v>1189</v>
      </c>
      <c r="B249" s="23">
        <v>12</v>
      </c>
      <c r="C249" s="26" t="s">
        <v>436</v>
      </c>
      <c r="D249" s="9" t="s">
        <v>488</v>
      </c>
      <c r="E249" s="9" t="s">
        <v>1190</v>
      </c>
      <c r="F249" s="9" t="s">
        <v>558</v>
      </c>
      <c r="G249" s="9"/>
      <c r="H249" s="14">
        <v>135000</v>
      </c>
      <c r="I249" s="17">
        <v>2</v>
      </c>
      <c r="J249" s="9" t="str">
        <f t="shared" si="3"/>
        <v>Stok Terbatas</v>
      </c>
      <c r="K249" s="9" t="s">
        <v>57</v>
      </c>
      <c r="L249" s="9" t="s">
        <v>40</v>
      </c>
      <c r="M249" s="10"/>
    </row>
    <row r="250" spans="1:13">
      <c r="A250" s="20" t="s">
        <v>1191</v>
      </c>
      <c r="B250" s="23">
        <v>12</v>
      </c>
      <c r="C250" s="26" t="s">
        <v>436</v>
      </c>
      <c r="D250" s="9" t="s">
        <v>508</v>
      </c>
      <c r="E250" s="9" t="s">
        <v>1192</v>
      </c>
      <c r="F250" s="9" t="s">
        <v>512</v>
      </c>
      <c r="G250" s="9"/>
      <c r="H250" s="14">
        <v>200000</v>
      </c>
      <c r="I250" s="17">
        <v>1</v>
      </c>
      <c r="J250" s="9" t="str">
        <f t="shared" si="3"/>
        <v>Stok Terbatas</v>
      </c>
      <c r="K250" s="9" t="s">
        <v>511</v>
      </c>
      <c r="L250" s="9" t="s">
        <v>40</v>
      </c>
      <c r="M250" s="10"/>
    </row>
    <row r="251" spans="1:13">
      <c r="A251" s="20" t="s">
        <v>1193</v>
      </c>
      <c r="B251" s="23">
        <v>12</v>
      </c>
      <c r="C251" s="26" t="s">
        <v>436</v>
      </c>
      <c r="D251" s="9" t="s">
        <v>492</v>
      </c>
      <c r="E251" s="9" t="s">
        <v>1194</v>
      </c>
      <c r="F251" s="9" t="s">
        <v>1195</v>
      </c>
      <c r="G251" s="9"/>
      <c r="H251" s="14">
        <v>145000</v>
      </c>
      <c r="I251" s="17">
        <v>1</v>
      </c>
      <c r="J251" s="9" t="str">
        <f t="shared" si="3"/>
        <v>Stok Terbatas</v>
      </c>
      <c r="K251" s="9" t="s">
        <v>57</v>
      </c>
      <c r="L251" s="9" t="s">
        <v>40</v>
      </c>
      <c r="M251" s="10"/>
    </row>
    <row r="252" spans="1:13">
      <c r="A252" s="20" t="s">
        <v>1196</v>
      </c>
      <c r="B252" s="23">
        <v>12</v>
      </c>
      <c r="C252" s="26" t="s">
        <v>436</v>
      </c>
      <c r="D252" s="9" t="s">
        <v>492</v>
      </c>
      <c r="E252" s="9" t="s">
        <v>1197</v>
      </c>
      <c r="F252" s="9" t="s">
        <v>1198</v>
      </c>
      <c r="G252" s="9"/>
      <c r="H252" s="14">
        <v>145000</v>
      </c>
      <c r="I252" s="17">
        <v>1</v>
      </c>
      <c r="J252" s="9" t="str">
        <f t="shared" si="3"/>
        <v>Stok Terbatas</v>
      </c>
      <c r="K252" s="9" t="s">
        <v>57</v>
      </c>
      <c r="L252" s="9" t="s">
        <v>40</v>
      </c>
      <c r="M252" s="10"/>
    </row>
    <row r="253" spans="1:13">
      <c r="A253" s="20" t="s">
        <v>1199</v>
      </c>
      <c r="B253" s="23">
        <v>12</v>
      </c>
      <c r="C253" s="26" t="s">
        <v>436</v>
      </c>
      <c r="D253" s="9" t="s">
        <v>492</v>
      </c>
      <c r="E253" s="9" t="s">
        <v>1200</v>
      </c>
      <c r="F253" s="9" t="s">
        <v>1201</v>
      </c>
      <c r="G253" s="9"/>
      <c r="H253" s="14">
        <v>145000</v>
      </c>
      <c r="I253" s="17">
        <v>2</v>
      </c>
      <c r="J253" s="9" t="str">
        <f t="shared" si="3"/>
        <v>Stok Terbatas</v>
      </c>
      <c r="K253" s="9" t="s">
        <v>57</v>
      </c>
      <c r="L253" s="9" t="s">
        <v>40</v>
      </c>
      <c r="M253" s="10"/>
    </row>
    <row r="254" spans="1:13">
      <c r="A254" s="20" t="s">
        <v>1202</v>
      </c>
      <c r="B254" s="23">
        <v>14</v>
      </c>
      <c r="C254" s="26" t="s">
        <v>533</v>
      </c>
      <c r="D254" s="9" t="s">
        <v>531</v>
      </c>
      <c r="E254" s="9" t="s">
        <v>1203</v>
      </c>
      <c r="F254" s="9" t="s">
        <v>535</v>
      </c>
      <c r="G254" s="9"/>
      <c r="H254" s="14">
        <v>229000</v>
      </c>
      <c r="I254" s="17">
        <v>2</v>
      </c>
      <c r="J254" s="9" t="str">
        <f t="shared" si="3"/>
        <v>Stok Terbatas</v>
      </c>
      <c r="K254" s="9" t="s">
        <v>88</v>
      </c>
      <c r="L254" s="9" t="s">
        <v>40</v>
      </c>
      <c r="M254" s="10"/>
    </row>
    <row r="255" spans="1:13">
      <c r="A255" s="20" t="s">
        <v>1204</v>
      </c>
      <c r="B255" s="23">
        <v>14</v>
      </c>
      <c r="C255" s="26" t="s">
        <v>533</v>
      </c>
      <c r="D255" s="9" t="s">
        <v>536</v>
      </c>
      <c r="E255" s="9" t="s">
        <v>1205</v>
      </c>
      <c r="F255" s="9" t="s">
        <v>539</v>
      </c>
      <c r="G255" s="9"/>
      <c r="H255" s="14">
        <v>229000</v>
      </c>
      <c r="I255" s="17">
        <v>1</v>
      </c>
      <c r="J255" s="9" t="str">
        <f t="shared" si="3"/>
        <v>Stok Terbatas</v>
      </c>
      <c r="K255" s="9" t="s">
        <v>48</v>
      </c>
      <c r="L255" s="9" t="s">
        <v>40</v>
      </c>
      <c r="M255" s="10"/>
    </row>
    <row r="256" spans="1:13">
      <c r="A256" s="20" t="s">
        <v>1206</v>
      </c>
      <c r="B256" s="23">
        <v>15</v>
      </c>
      <c r="C256" s="26" t="s">
        <v>542</v>
      </c>
      <c r="D256" s="9" t="s">
        <v>540</v>
      </c>
      <c r="E256" s="9" t="s">
        <v>1207</v>
      </c>
      <c r="F256" s="9" t="s">
        <v>1208</v>
      </c>
      <c r="G256" s="9" t="s">
        <v>177</v>
      </c>
      <c r="H256" s="14">
        <v>595000</v>
      </c>
      <c r="I256" s="17">
        <v>1</v>
      </c>
      <c r="J256" s="9" t="str">
        <f t="shared" si="3"/>
        <v>Stok Terbatas</v>
      </c>
      <c r="K256" s="9" t="s">
        <v>33</v>
      </c>
      <c r="L256" s="9" t="s">
        <v>40</v>
      </c>
      <c r="M256" s="10"/>
    </row>
    <row r="257" spans="1:13">
      <c r="A257" s="20" t="s">
        <v>1209</v>
      </c>
      <c r="B257" s="23">
        <v>15</v>
      </c>
      <c r="C257" s="26" t="s">
        <v>542</v>
      </c>
      <c r="D257" s="9" t="s">
        <v>540</v>
      </c>
      <c r="E257" s="9" t="s">
        <v>1210</v>
      </c>
      <c r="F257" s="9" t="s">
        <v>1208</v>
      </c>
      <c r="G257" s="9" t="s">
        <v>678</v>
      </c>
      <c r="H257" s="14">
        <v>595000</v>
      </c>
      <c r="I257" s="17">
        <v>1</v>
      </c>
      <c r="J257" s="9" t="str">
        <f t="shared" si="3"/>
        <v>Stok Terbatas</v>
      </c>
      <c r="K257" s="9" t="s">
        <v>33</v>
      </c>
      <c r="L257" s="9" t="s">
        <v>40</v>
      </c>
      <c r="M257" s="10"/>
    </row>
    <row r="258" spans="1:13">
      <c r="A258" s="20" t="s">
        <v>1211</v>
      </c>
      <c r="B258" s="23">
        <v>15</v>
      </c>
      <c r="C258" s="26" t="s">
        <v>542</v>
      </c>
      <c r="D258" s="9" t="s">
        <v>540</v>
      </c>
      <c r="E258" s="9" t="s">
        <v>1212</v>
      </c>
      <c r="F258" s="9" t="s">
        <v>1213</v>
      </c>
      <c r="G258" s="9" t="s">
        <v>177</v>
      </c>
      <c r="H258" s="14">
        <v>595000</v>
      </c>
      <c r="I258" s="17">
        <v>1</v>
      </c>
      <c r="J258" s="9" t="str">
        <f t="shared" ref="J258:J321" si="4">IF(I258&lt;=0,"Habis",IF(I258&lt;=2,"Stok Terbatas","Tersedia"))</f>
        <v>Stok Terbatas</v>
      </c>
      <c r="K258" s="9" t="s">
        <v>33</v>
      </c>
      <c r="L258" s="9" t="s">
        <v>40</v>
      </c>
      <c r="M258" s="10"/>
    </row>
    <row r="259" spans="1:13">
      <c r="A259" s="20" t="s">
        <v>1214</v>
      </c>
      <c r="B259" s="23">
        <v>15</v>
      </c>
      <c r="C259" s="26" t="s">
        <v>542</v>
      </c>
      <c r="D259" s="9" t="s">
        <v>540</v>
      </c>
      <c r="E259" s="9" t="s">
        <v>1215</v>
      </c>
      <c r="F259" s="9" t="s">
        <v>1213</v>
      </c>
      <c r="G259" s="9" t="s">
        <v>399</v>
      </c>
      <c r="H259" s="14">
        <v>595000</v>
      </c>
      <c r="I259" s="17">
        <v>1</v>
      </c>
      <c r="J259" s="9" t="str">
        <f t="shared" si="4"/>
        <v>Stok Terbatas</v>
      </c>
      <c r="K259" s="9" t="s">
        <v>33</v>
      </c>
      <c r="L259" s="9" t="s">
        <v>40</v>
      </c>
      <c r="M259" s="10"/>
    </row>
    <row r="260" spans="1:13">
      <c r="A260" s="20" t="s">
        <v>1216</v>
      </c>
      <c r="B260" s="23">
        <v>15</v>
      </c>
      <c r="C260" s="26" t="s">
        <v>542</v>
      </c>
      <c r="D260" s="9" t="s">
        <v>546</v>
      </c>
      <c r="E260" s="9" t="s">
        <v>1217</v>
      </c>
      <c r="F260" s="9" t="s">
        <v>246</v>
      </c>
      <c r="G260" s="9" t="s">
        <v>177</v>
      </c>
      <c r="H260" s="14">
        <v>575000</v>
      </c>
      <c r="I260" s="17">
        <v>2</v>
      </c>
      <c r="J260" s="9" t="str">
        <f t="shared" si="4"/>
        <v>Stok Terbatas</v>
      </c>
      <c r="K260" s="9" t="s">
        <v>33</v>
      </c>
      <c r="L260" s="9" t="s">
        <v>40</v>
      </c>
      <c r="M260" s="10"/>
    </row>
    <row r="261" spans="1:13">
      <c r="A261" s="20" t="s">
        <v>1218</v>
      </c>
      <c r="B261" s="23">
        <v>15</v>
      </c>
      <c r="C261" s="26" t="s">
        <v>542</v>
      </c>
      <c r="D261" s="9" t="s">
        <v>546</v>
      </c>
      <c r="E261" s="9" t="s">
        <v>1219</v>
      </c>
      <c r="F261" s="9" t="s">
        <v>246</v>
      </c>
      <c r="G261" s="9" t="s">
        <v>606</v>
      </c>
      <c r="H261" s="14">
        <v>575000</v>
      </c>
      <c r="I261" s="17">
        <v>1</v>
      </c>
      <c r="J261" s="9" t="str">
        <f t="shared" si="4"/>
        <v>Stok Terbatas</v>
      </c>
      <c r="K261" s="9" t="s">
        <v>33</v>
      </c>
      <c r="L261" s="9" t="s">
        <v>40</v>
      </c>
      <c r="M261" s="10"/>
    </row>
    <row r="262" spans="1:13">
      <c r="A262" s="20" t="s">
        <v>1220</v>
      </c>
      <c r="B262" s="23">
        <v>15</v>
      </c>
      <c r="C262" s="26" t="s">
        <v>542</v>
      </c>
      <c r="D262" s="9" t="s">
        <v>546</v>
      </c>
      <c r="E262" s="9" t="s">
        <v>1221</v>
      </c>
      <c r="F262" s="9" t="s">
        <v>246</v>
      </c>
      <c r="G262" s="9" t="s">
        <v>382</v>
      </c>
      <c r="H262" s="14">
        <v>575000</v>
      </c>
      <c r="I262" s="17">
        <v>1</v>
      </c>
      <c r="J262" s="9" t="str">
        <f t="shared" si="4"/>
        <v>Stok Terbatas</v>
      </c>
      <c r="K262" s="9" t="s">
        <v>33</v>
      </c>
      <c r="L262" s="9" t="s">
        <v>40</v>
      </c>
      <c r="M262" s="10"/>
    </row>
    <row r="263" spans="1:13">
      <c r="A263" s="20" t="s">
        <v>1222</v>
      </c>
      <c r="B263" s="23">
        <v>15</v>
      </c>
      <c r="C263" s="26" t="s">
        <v>542</v>
      </c>
      <c r="D263" s="9" t="s">
        <v>546</v>
      </c>
      <c r="E263" s="9" t="s">
        <v>1223</v>
      </c>
      <c r="F263" s="9" t="s">
        <v>1224</v>
      </c>
      <c r="G263" s="9" t="s">
        <v>177</v>
      </c>
      <c r="H263" s="14">
        <v>575000</v>
      </c>
      <c r="I263" s="17">
        <v>2</v>
      </c>
      <c r="J263" s="9" t="str">
        <f t="shared" si="4"/>
        <v>Stok Terbatas</v>
      </c>
      <c r="K263" s="9" t="s">
        <v>33</v>
      </c>
      <c r="L263" s="9" t="s">
        <v>40</v>
      </c>
      <c r="M263" s="10"/>
    </row>
    <row r="264" spans="1:13">
      <c r="A264" s="20" t="s">
        <v>1225</v>
      </c>
      <c r="B264" s="23">
        <v>15</v>
      </c>
      <c r="C264" s="26" t="s">
        <v>542</v>
      </c>
      <c r="D264" s="9" t="s">
        <v>546</v>
      </c>
      <c r="E264" s="9" t="s">
        <v>1226</v>
      </c>
      <c r="F264" s="9" t="s">
        <v>1224</v>
      </c>
      <c r="G264" s="9" t="s">
        <v>606</v>
      </c>
      <c r="H264" s="14">
        <v>575000</v>
      </c>
      <c r="I264" s="17">
        <v>1</v>
      </c>
      <c r="J264" s="9" t="str">
        <f t="shared" si="4"/>
        <v>Stok Terbatas</v>
      </c>
      <c r="K264" s="9" t="s">
        <v>33</v>
      </c>
      <c r="L264" s="9" t="s">
        <v>40</v>
      </c>
      <c r="M264" s="10"/>
    </row>
    <row r="265" spans="1:13">
      <c r="A265" s="20" t="s">
        <v>1227</v>
      </c>
      <c r="B265" s="23">
        <v>15</v>
      </c>
      <c r="C265" s="26" t="s">
        <v>542</v>
      </c>
      <c r="D265" s="9" t="s">
        <v>550</v>
      </c>
      <c r="E265" s="9" t="s">
        <v>1228</v>
      </c>
      <c r="F265" s="9" t="s">
        <v>553</v>
      </c>
      <c r="G265" s="9" t="s">
        <v>554</v>
      </c>
      <c r="H265" s="14">
        <v>395000</v>
      </c>
      <c r="I265" s="17">
        <v>1</v>
      </c>
      <c r="J265" s="9" t="str">
        <f t="shared" si="4"/>
        <v>Stok Terbatas</v>
      </c>
      <c r="K265" s="9" t="s">
        <v>33</v>
      </c>
      <c r="L265" s="9" t="s">
        <v>40</v>
      </c>
      <c r="M265" s="10"/>
    </row>
    <row r="266" spans="1:13">
      <c r="A266" s="20" t="s">
        <v>1229</v>
      </c>
      <c r="B266" s="23">
        <v>15</v>
      </c>
      <c r="C266" s="26" t="s">
        <v>542</v>
      </c>
      <c r="D266" s="9" t="s">
        <v>568</v>
      </c>
      <c r="E266" s="9" t="s">
        <v>1230</v>
      </c>
      <c r="F266" s="9" t="s">
        <v>372</v>
      </c>
      <c r="G266" s="9" t="s">
        <v>177</v>
      </c>
      <c r="H266" s="14">
        <v>245000</v>
      </c>
      <c r="I266" s="17">
        <v>1</v>
      </c>
      <c r="J266" s="9" t="str">
        <f t="shared" si="4"/>
        <v>Stok Terbatas</v>
      </c>
      <c r="K266" s="9" t="s">
        <v>48</v>
      </c>
      <c r="L266" s="9" t="s">
        <v>40</v>
      </c>
      <c r="M266" s="10"/>
    </row>
    <row r="267" spans="1:13">
      <c r="A267" s="20" t="s">
        <v>1231</v>
      </c>
      <c r="B267" s="23">
        <v>15</v>
      </c>
      <c r="C267" s="26" t="s">
        <v>542</v>
      </c>
      <c r="D267" s="9" t="s">
        <v>568</v>
      </c>
      <c r="E267" s="9" t="s">
        <v>1232</v>
      </c>
      <c r="F267" s="9" t="s">
        <v>372</v>
      </c>
      <c r="G267" s="9" t="s">
        <v>399</v>
      </c>
      <c r="H267" s="14">
        <v>245000</v>
      </c>
      <c r="I267" s="17">
        <v>1</v>
      </c>
      <c r="J267" s="9" t="str">
        <f t="shared" si="4"/>
        <v>Stok Terbatas</v>
      </c>
      <c r="K267" s="9" t="s">
        <v>48</v>
      </c>
      <c r="L267" s="9" t="s">
        <v>40</v>
      </c>
      <c r="M267" s="10"/>
    </row>
    <row r="268" spans="1:13">
      <c r="A268" s="20" t="s">
        <v>1233</v>
      </c>
      <c r="B268" s="23">
        <v>15</v>
      </c>
      <c r="C268" s="26" t="s">
        <v>542</v>
      </c>
      <c r="D268" s="9" t="s">
        <v>568</v>
      </c>
      <c r="E268" s="9" t="s">
        <v>1234</v>
      </c>
      <c r="F268" s="9" t="s">
        <v>553</v>
      </c>
      <c r="G268" s="9" t="s">
        <v>177</v>
      </c>
      <c r="H268" s="14">
        <v>245000</v>
      </c>
      <c r="I268" s="17">
        <v>1</v>
      </c>
      <c r="J268" s="9" t="str">
        <f t="shared" si="4"/>
        <v>Stok Terbatas</v>
      </c>
      <c r="K268" s="9" t="s">
        <v>48</v>
      </c>
      <c r="L268" s="9" t="s">
        <v>40</v>
      </c>
      <c r="M268" s="10"/>
    </row>
    <row r="269" spans="1:13">
      <c r="A269" s="20" t="s">
        <v>1235</v>
      </c>
      <c r="B269" s="23">
        <v>15</v>
      </c>
      <c r="C269" s="26" t="s">
        <v>542</v>
      </c>
      <c r="D269" s="9" t="s">
        <v>568</v>
      </c>
      <c r="E269" s="9" t="s">
        <v>1236</v>
      </c>
      <c r="F269" s="9" t="s">
        <v>1116</v>
      </c>
      <c r="G269" s="9" t="s">
        <v>399</v>
      </c>
      <c r="H269" s="14">
        <v>245000</v>
      </c>
      <c r="I269" s="17">
        <v>1</v>
      </c>
      <c r="J269" s="9" t="str">
        <f t="shared" si="4"/>
        <v>Stok Terbatas</v>
      </c>
      <c r="K269" s="9" t="s">
        <v>48</v>
      </c>
      <c r="L269" s="9" t="s">
        <v>40</v>
      </c>
      <c r="M269" s="10"/>
    </row>
    <row r="270" spans="1:13">
      <c r="A270" s="20" t="s">
        <v>1237</v>
      </c>
      <c r="B270" s="23">
        <v>15</v>
      </c>
      <c r="C270" s="26" t="s">
        <v>542</v>
      </c>
      <c r="D270" s="9" t="s">
        <v>555</v>
      </c>
      <c r="E270" s="9" t="s">
        <v>1238</v>
      </c>
      <c r="F270" s="9" t="s">
        <v>558</v>
      </c>
      <c r="G270" s="9" t="s">
        <v>399</v>
      </c>
      <c r="H270" s="14">
        <v>585000</v>
      </c>
      <c r="I270" s="17">
        <v>1</v>
      </c>
      <c r="J270" s="9" t="str">
        <f t="shared" si="4"/>
        <v>Stok Terbatas</v>
      </c>
      <c r="K270" s="9" t="s">
        <v>33</v>
      </c>
      <c r="L270" s="9" t="s">
        <v>40</v>
      </c>
      <c r="M270" s="10"/>
    </row>
    <row r="271" spans="1:13">
      <c r="A271" s="20" t="s">
        <v>1239</v>
      </c>
      <c r="B271" s="23">
        <v>15</v>
      </c>
      <c r="C271" s="26" t="s">
        <v>542</v>
      </c>
      <c r="D271" s="9" t="s">
        <v>559</v>
      </c>
      <c r="E271" s="9" t="s">
        <v>1240</v>
      </c>
      <c r="F271" s="9" t="s">
        <v>1241</v>
      </c>
      <c r="G271" s="9" t="s">
        <v>177</v>
      </c>
      <c r="H271" s="14">
        <v>595000</v>
      </c>
      <c r="I271" s="17">
        <v>1</v>
      </c>
      <c r="J271" s="9" t="str">
        <f t="shared" si="4"/>
        <v>Stok Terbatas</v>
      </c>
      <c r="K271" s="9" t="s">
        <v>33</v>
      </c>
      <c r="L271" s="9" t="s">
        <v>40</v>
      </c>
      <c r="M271" s="10"/>
    </row>
    <row r="272" spans="1:13">
      <c r="A272" s="20" t="s">
        <v>1242</v>
      </c>
      <c r="B272" s="23">
        <v>15</v>
      </c>
      <c r="C272" s="26" t="s">
        <v>542</v>
      </c>
      <c r="D272" s="9" t="s">
        <v>559</v>
      </c>
      <c r="E272" s="9" t="s">
        <v>1243</v>
      </c>
      <c r="F272" s="9" t="s">
        <v>1241</v>
      </c>
      <c r="G272" s="9" t="s">
        <v>399</v>
      </c>
      <c r="H272" s="14">
        <v>595000</v>
      </c>
      <c r="I272" s="17">
        <v>1</v>
      </c>
      <c r="J272" s="9" t="str">
        <f t="shared" si="4"/>
        <v>Stok Terbatas</v>
      </c>
      <c r="K272" s="9" t="s">
        <v>33</v>
      </c>
      <c r="L272" s="9" t="s">
        <v>40</v>
      </c>
      <c r="M272" s="10"/>
    </row>
    <row r="273" spans="1:13">
      <c r="A273" s="20" t="s">
        <v>1244</v>
      </c>
      <c r="B273" s="23">
        <v>15</v>
      </c>
      <c r="C273" s="26" t="s">
        <v>542</v>
      </c>
      <c r="D273" s="9" t="s">
        <v>559</v>
      </c>
      <c r="E273" s="9" t="s">
        <v>1245</v>
      </c>
      <c r="F273" s="9" t="s">
        <v>1246</v>
      </c>
      <c r="G273" s="9" t="s">
        <v>177</v>
      </c>
      <c r="H273" s="14">
        <v>595000</v>
      </c>
      <c r="I273" s="17">
        <v>1</v>
      </c>
      <c r="J273" s="9" t="str">
        <f t="shared" si="4"/>
        <v>Stok Terbatas</v>
      </c>
      <c r="K273" s="9" t="s">
        <v>33</v>
      </c>
      <c r="L273" s="9" t="s">
        <v>40</v>
      </c>
      <c r="M273" s="10"/>
    </row>
    <row r="274" spans="1:13">
      <c r="A274" s="20" t="s">
        <v>1247</v>
      </c>
      <c r="B274" s="23">
        <v>15</v>
      </c>
      <c r="C274" s="26" t="s">
        <v>542</v>
      </c>
      <c r="D274" s="9" t="s">
        <v>559</v>
      </c>
      <c r="E274" s="9" t="s">
        <v>1248</v>
      </c>
      <c r="F274" s="9" t="s">
        <v>1246</v>
      </c>
      <c r="G274" s="9" t="s">
        <v>606</v>
      </c>
      <c r="H274" s="14">
        <v>595000</v>
      </c>
      <c r="I274" s="17">
        <v>1</v>
      </c>
      <c r="J274" s="9" t="str">
        <f t="shared" si="4"/>
        <v>Stok Terbatas</v>
      </c>
      <c r="K274" s="9" t="s">
        <v>33</v>
      </c>
      <c r="L274" s="9" t="s">
        <v>40</v>
      </c>
      <c r="M274" s="10"/>
    </row>
    <row r="275" spans="1:13">
      <c r="A275" s="20" t="s">
        <v>1249</v>
      </c>
      <c r="B275" s="23">
        <v>15</v>
      </c>
      <c r="C275" s="26" t="s">
        <v>542</v>
      </c>
      <c r="D275" s="9" t="s">
        <v>559</v>
      </c>
      <c r="E275" s="9" t="s">
        <v>1250</v>
      </c>
      <c r="F275" s="9" t="s">
        <v>1246</v>
      </c>
      <c r="G275" s="9" t="s">
        <v>399</v>
      </c>
      <c r="H275" s="14">
        <v>595000</v>
      </c>
      <c r="I275" s="17">
        <v>1</v>
      </c>
      <c r="J275" s="9" t="str">
        <f t="shared" si="4"/>
        <v>Stok Terbatas</v>
      </c>
      <c r="K275" s="9" t="s">
        <v>33</v>
      </c>
      <c r="L275" s="9" t="s">
        <v>40</v>
      </c>
      <c r="M275" s="10"/>
    </row>
    <row r="276" spans="1:13">
      <c r="A276" s="20" t="s">
        <v>1251</v>
      </c>
      <c r="B276" s="23">
        <v>15</v>
      </c>
      <c r="C276" s="26" t="s">
        <v>542</v>
      </c>
      <c r="D276" s="9" t="s">
        <v>559</v>
      </c>
      <c r="E276" s="9" t="s">
        <v>1252</v>
      </c>
      <c r="F276" s="9" t="s">
        <v>1224</v>
      </c>
      <c r="G276" s="9" t="s">
        <v>177</v>
      </c>
      <c r="H276" s="14">
        <v>595000</v>
      </c>
      <c r="I276" s="17">
        <v>1</v>
      </c>
      <c r="J276" s="9" t="str">
        <f t="shared" si="4"/>
        <v>Stok Terbatas</v>
      </c>
      <c r="K276" s="9" t="s">
        <v>33</v>
      </c>
      <c r="L276" s="9" t="s">
        <v>40</v>
      </c>
      <c r="M276" s="10"/>
    </row>
    <row r="277" spans="1:13">
      <c r="A277" s="20" t="s">
        <v>1253</v>
      </c>
      <c r="B277" s="23">
        <v>15</v>
      </c>
      <c r="C277" s="26" t="s">
        <v>542</v>
      </c>
      <c r="D277" s="9" t="s">
        <v>559</v>
      </c>
      <c r="E277" s="9" t="s">
        <v>1254</v>
      </c>
      <c r="F277" s="9" t="s">
        <v>1224</v>
      </c>
      <c r="G277" s="9" t="s">
        <v>606</v>
      </c>
      <c r="H277" s="14">
        <v>595000</v>
      </c>
      <c r="I277" s="17">
        <v>1</v>
      </c>
      <c r="J277" s="9" t="str">
        <f t="shared" si="4"/>
        <v>Stok Terbatas</v>
      </c>
      <c r="K277" s="9" t="s">
        <v>33</v>
      </c>
      <c r="L277" s="9" t="s">
        <v>40</v>
      </c>
      <c r="M277" s="10"/>
    </row>
    <row r="278" spans="1:13">
      <c r="A278" s="20" t="s">
        <v>1255</v>
      </c>
      <c r="B278" s="23">
        <v>15</v>
      </c>
      <c r="C278" s="26" t="s">
        <v>542</v>
      </c>
      <c r="D278" s="9" t="s">
        <v>559</v>
      </c>
      <c r="E278" s="9" t="s">
        <v>1256</v>
      </c>
      <c r="F278" s="9" t="s">
        <v>1224</v>
      </c>
      <c r="G278" s="9" t="s">
        <v>399</v>
      </c>
      <c r="H278" s="14">
        <v>595000</v>
      </c>
      <c r="I278" s="17">
        <v>1</v>
      </c>
      <c r="J278" s="9" t="str">
        <f t="shared" si="4"/>
        <v>Stok Terbatas</v>
      </c>
      <c r="K278" s="9" t="s">
        <v>33</v>
      </c>
      <c r="L278" s="9" t="s">
        <v>40</v>
      </c>
      <c r="M278" s="10"/>
    </row>
    <row r="279" spans="1:13">
      <c r="A279" s="20" t="s">
        <v>1257</v>
      </c>
      <c r="B279" s="23">
        <v>15</v>
      </c>
      <c r="C279" s="26" t="s">
        <v>542</v>
      </c>
      <c r="D279" s="9" t="s">
        <v>563</v>
      </c>
      <c r="E279" s="9" t="s">
        <v>1258</v>
      </c>
      <c r="F279" s="9" t="s">
        <v>566</v>
      </c>
      <c r="G279" s="9" t="s">
        <v>1259</v>
      </c>
      <c r="H279" s="14">
        <v>395000</v>
      </c>
      <c r="I279" s="17">
        <v>1</v>
      </c>
      <c r="J279" s="9" t="str">
        <f t="shared" si="4"/>
        <v>Stok Terbatas</v>
      </c>
      <c r="K279" s="9" t="s">
        <v>33</v>
      </c>
      <c r="L279" s="9" t="s">
        <v>40</v>
      </c>
      <c r="M279" s="10"/>
    </row>
    <row r="280" spans="1:13">
      <c r="A280" s="20" t="s">
        <v>1260</v>
      </c>
      <c r="B280" s="23">
        <v>15</v>
      </c>
      <c r="C280" s="26" t="s">
        <v>542</v>
      </c>
      <c r="D280" s="9" t="s">
        <v>563</v>
      </c>
      <c r="E280" s="9" t="s">
        <v>1261</v>
      </c>
      <c r="F280" s="9" t="s">
        <v>566</v>
      </c>
      <c r="G280" s="9" t="s">
        <v>1262</v>
      </c>
      <c r="H280" s="14">
        <v>445000</v>
      </c>
      <c r="I280" s="17">
        <v>1</v>
      </c>
      <c r="J280" s="9" t="str">
        <f t="shared" si="4"/>
        <v>Stok Terbatas</v>
      </c>
      <c r="K280" s="9" t="s">
        <v>33</v>
      </c>
      <c r="L280" s="9" t="s">
        <v>40</v>
      </c>
      <c r="M280" s="10"/>
    </row>
    <row r="281" spans="1:13">
      <c r="A281" s="20" t="s">
        <v>1263</v>
      </c>
      <c r="B281" s="23">
        <v>15</v>
      </c>
      <c r="C281" s="26" t="s">
        <v>542</v>
      </c>
      <c r="D281" s="9" t="s">
        <v>572</v>
      </c>
      <c r="E281" s="9" t="s">
        <v>1264</v>
      </c>
      <c r="F281" s="9" t="s">
        <v>566</v>
      </c>
      <c r="G281" s="9" t="s">
        <v>177</v>
      </c>
      <c r="H281" s="14">
        <v>245000</v>
      </c>
      <c r="I281" s="17">
        <v>1</v>
      </c>
      <c r="J281" s="9" t="str">
        <f t="shared" si="4"/>
        <v>Stok Terbatas</v>
      </c>
      <c r="K281" s="9" t="s">
        <v>48</v>
      </c>
      <c r="L281" s="9" t="s">
        <v>40</v>
      </c>
      <c r="M281" s="10"/>
    </row>
    <row r="282" spans="1:13">
      <c r="A282" s="20" t="s">
        <v>1265</v>
      </c>
      <c r="B282" s="23">
        <v>15</v>
      </c>
      <c r="C282" s="26" t="s">
        <v>542</v>
      </c>
      <c r="D282" s="9" t="s">
        <v>575</v>
      </c>
      <c r="E282" s="9" t="s">
        <v>1266</v>
      </c>
      <c r="F282" s="9" t="s">
        <v>372</v>
      </c>
      <c r="G282" s="9" t="s">
        <v>177</v>
      </c>
      <c r="H282" s="14">
        <v>235000</v>
      </c>
      <c r="I282" s="17">
        <v>1</v>
      </c>
      <c r="J282" s="9" t="str">
        <f t="shared" si="4"/>
        <v>Stok Terbatas</v>
      </c>
      <c r="K282" s="9" t="s">
        <v>48</v>
      </c>
      <c r="L282" s="9" t="s">
        <v>40</v>
      </c>
      <c r="M282" s="10"/>
    </row>
    <row r="283" spans="1:13">
      <c r="A283" s="20" t="s">
        <v>1267</v>
      </c>
      <c r="B283" s="23">
        <v>15</v>
      </c>
      <c r="C283" s="26" t="s">
        <v>542</v>
      </c>
      <c r="D283" s="9" t="s">
        <v>575</v>
      </c>
      <c r="E283" s="9" t="s">
        <v>1268</v>
      </c>
      <c r="F283" s="9" t="s">
        <v>372</v>
      </c>
      <c r="G283" s="9" t="s">
        <v>606</v>
      </c>
      <c r="H283" s="14">
        <v>235000</v>
      </c>
      <c r="I283" s="17">
        <v>1</v>
      </c>
      <c r="J283" s="9" t="str">
        <f t="shared" si="4"/>
        <v>Stok Terbatas</v>
      </c>
      <c r="K283" s="9" t="s">
        <v>48</v>
      </c>
      <c r="L283" s="9" t="s">
        <v>40</v>
      </c>
      <c r="M283" s="10"/>
    </row>
    <row r="284" spans="1:13">
      <c r="A284" s="20" t="s">
        <v>1269</v>
      </c>
      <c r="B284" s="23">
        <v>15</v>
      </c>
      <c r="C284" s="26" t="s">
        <v>542</v>
      </c>
      <c r="D284" s="9" t="s">
        <v>575</v>
      </c>
      <c r="E284" s="9" t="s">
        <v>1270</v>
      </c>
      <c r="F284" s="9" t="s">
        <v>372</v>
      </c>
      <c r="G284" s="9" t="s">
        <v>382</v>
      </c>
      <c r="H284" s="14">
        <v>235000</v>
      </c>
      <c r="I284" s="17">
        <v>1</v>
      </c>
      <c r="J284" s="9" t="str">
        <f t="shared" si="4"/>
        <v>Stok Terbatas</v>
      </c>
      <c r="K284" s="9" t="s">
        <v>48</v>
      </c>
      <c r="L284" s="9" t="s">
        <v>40</v>
      </c>
      <c r="M284" s="10"/>
    </row>
    <row r="285" spans="1:13">
      <c r="A285" s="20" t="s">
        <v>1271</v>
      </c>
      <c r="B285" s="23">
        <v>15</v>
      </c>
      <c r="C285" s="26" t="s">
        <v>542</v>
      </c>
      <c r="D285" s="9" t="s">
        <v>575</v>
      </c>
      <c r="E285" s="9" t="s">
        <v>1272</v>
      </c>
      <c r="F285" s="9" t="s">
        <v>372</v>
      </c>
      <c r="G285" s="9" t="s">
        <v>399</v>
      </c>
      <c r="H285" s="14">
        <v>235000</v>
      </c>
      <c r="I285" s="17">
        <v>1</v>
      </c>
      <c r="J285" s="9" t="str">
        <f t="shared" si="4"/>
        <v>Stok Terbatas</v>
      </c>
      <c r="K285" s="9" t="s">
        <v>48</v>
      </c>
      <c r="L285" s="9" t="s">
        <v>40</v>
      </c>
      <c r="M285" s="10"/>
    </row>
    <row r="286" spans="1:13">
      <c r="A286" s="20" t="s">
        <v>1273</v>
      </c>
      <c r="B286" s="23">
        <v>15</v>
      </c>
      <c r="C286" s="26" t="s">
        <v>542</v>
      </c>
      <c r="D286" s="9" t="s">
        <v>575</v>
      </c>
      <c r="E286" s="9" t="s">
        <v>1274</v>
      </c>
      <c r="F286" s="9" t="s">
        <v>1275</v>
      </c>
      <c r="G286" s="9" t="s">
        <v>177</v>
      </c>
      <c r="H286" s="14">
        <v>235000</v>
      </c>
      <c r="I286" s="17">
        <v>1</v>
      </c>
      <c r="J286" s="9" t="str">
        <f t="shared" si="4"/>
        <v>Stok Terbatas</v>
      </c>
      <c r="K286" s="9" t="s">
        <v>48</v>
      </c>
      <c r="L286" s="9" t="s">
        <v>40</v>
      </c>
      <c r="M286" s="10"/>
    </row>
    <row r="287" spans="1:13">
      <c r="A287" s="20" t="s">
        <v>1276</v>
      </c>
      <c r="B287" s="23">
        <v>15</v>
      </c>
      <c r="C287" s="26" t="s">
        <v>542</v>
      </c>
      <c r="D287" s="9" t="s">
        <v>575</v>
      </c>
      <c r="E287" s="9" t="s">
        <v>1277</v>
      </c>
      <c r="F287" s="9" t="s">
        <v>1275</v>
      </c>
      <c r="G287" s="9" t="s">
        <v>606</v>
      </c>
      <c r="H287" s="14">
        <v>235000</v>
      </c>
      <c r="I287" s="17">
        <v>1</v>
      </c>
      <c r="J287" s="9" t="str">
        <f t="shared" si="4"/>
        <v>Stok Terbatas</v>
      </c>
      <c r="K287" s="9" t="s">
        <v>48</v>
      </c>
      <c r="L287" s="9" t="s">
        <v>40</v>
      </c>
      <c r="M287" s="10"/>
    </row>
    <row r="288" spans="1:13">
      <c r="A288" s="20" t="s">
        <v>1278</v>
      </c>
      <c r="B288" s="23">
        <v>15</v>
      </c>
      <c r="C288" s="26" t="s">
        <v>542</v>
      </c>
      <c r="D288" s="9" t="s">
        <v>575</v>
      </c>
      <c r="E288" s="9" t="s">
        <v>1279</v>
      </c>
      <c r="F288" s="9" t="s">
        <v>1275</v>
      </c>
      <c r="G288" s="9" t="s">
        <v>382</v>
      </c>
      <c r="H288" s="14">
        <v>235000</v>
      </c>
      <c r="I288" s="17">
        <v>1</v>
      </c>
      <c r="J288" s="9" t="str">
        <f t="shared" si="4"/>
        <v>Stok Terbatas</v>
      </c>
      <c r="K288" s="9" t="s">
        <v>48</v>
      </c>
      <c r="L288" s="9" t="s">
        <v>40</v>
      </c>
      <c r="M288" s="10"/>
    </row>
    <row r="289" spans="1:13">
      <c r="A289" s="20" t="s">
        <v>1280</v>
      </c>
      <c r="B289" s="23">
        <v>15</v>
      </c>
      <c r="C289" s="26" t="s">
        <v>542</v>
      </c>
      <c r="D289" s="9" t="s">
        <v>575</v>
      </c>
      <c r="E289" s="9" t="s">
        <v>1281</v>
      </c>
      <c r="F289" s="9" t="s">
        <v>1275</v>
      </c>
      <c r="G289" s="9" t="s">
        <v>399</v>
      </c>
      <c r="H289" s="14">
        <v>235000</v>
      </c>
      <c r="I289" s="17">
        <v>1</v>
      </c>
      <c r="J289" s="9" t="str">
        <f t="shared" si="4"/>
        <v>Stok Terbatas</v>
      </c>
      <c r="K289" s="9" t="s">
        <v>48</v>
      </c>
      <c r="L289" s="9" t="s">
        <v>40</v>
      </c>
      <c r="M289" s="10"/>
    </row>
    <row r="290" spans="1:13">
      <c r="A290" s="20" t="s">
        <v>1282</v>
      </c>
      <c r="B290" s="23">
        <v>15</v>
      </c>
      <c r="C290" s="26" t="s">
        <v>542</v>
      </c>
      <c r="D290" s="9" t="s">
        <v>575</v>
      </c>
      <c r="E290" s="9" t="s">
        <v>1283</v>
      </c>
      <c r="F290" s="9" t="s">
        <v>539</v>
      </c>
      <c r="G290" s="9" t="s">
        <v>606</v>
      </c>
      <c r="H290" s="14">
        <v>235000</v>
      </c>
      <c r="I290" s="17">
        <v>1</v>
      </c>
      <c r="J290" s="9" t="str">
        <f t="shared" si="4"/>
        <v>Stok Terbatas</v>
      </c>
      <c r="K290" s="9" t="s">
        <v>48</v>
      </c>
      <c r="L290" s="9" t="s">
        <v>40</v>
      </c>
      <c r="M290" s="10"/>
    </row>
    <row r="291" spans="1:13">
      <c r="A291" s="20" t="s">
        <v>1284</v>
      </c>
      <c r="B291" s="23">
        <v>15</v>
      </c>
      <c r="C291" s="26" t="s">
        <v>542</v>
      </c>
      <c r="D291" s="9" t="s">
        <v>575</v>
      </c>
      <c r="E291" s="9" t="s">
        <v>1285</v>
      </c>
      <c r="F291" s="9" t="s">
        <v>539</v>
      </c>
      <c r="G291" s="9" t="s">
        <v>382</v>
      </c>
      <c r="H291" s="14">
        <v>235000</v>
      </c>
      <c r="I291" s="17">
        <v>1</v>
      </c>
      <c r="J291" s="9" t="str">
        <f t="shared" si="4"/>
        <v>Stok Terbatas</v>
      </c>
      <c r="K291" s="9" t="s">
        <v>48</v>
      </c>
      <c r="L291" s="9" t="s">
        <v>40</v>
      </c>
      <c r="M291" s="10"/>
    </row>
    <row r="292" spans="1:13">
      <c r="A292" s="20" t="s">
        <v>1286</v>
      </c>
      <c r="B292" s="23">
        <v>15</v>
      </c>
      <c r="C292" s="26" t="s">
        <v>542</v>
      </c>
      <c r="D292" s="9" t="s">
        <v>575</v>
      </c>
      <c r="E292" s="9" t="s">
        <v>1287</v>
      </c>
      <c r="F292" s="9" t="s">
        <v>539</v>
      </c>
      <c r="G292" s="9" t="s">
        <v>399</v>
      </c>
      <c r="H292" s="14">
        <v>235000</v>
      </c>
      <c r="I292" s="17">
        <v>1</v>
      </c>
      <c r="J292" s="9" t="str">
        <f t="shared" si="4"/>
        <v>Stok Terbatas</v>
      </c>
      <c r="K292" s="9" t="s">
        <v>48</v>
      </c>
      <c r="L292" s="9" t="s">
        <v>40</v>
      </c>
      <c r="M292" s="10"/>
    </row>
    <row r="293" spans="1:13">
      <c r="A293" s="20" t="s">
        <v>1288</v>
      </c>
      <c r="B293" s="23">
        <v>15</v>
      </c>
      <c r="C293" s="26" t="s">
        <v>542</v>
      </c>
      <c r="D293" s="9" t="s">
        <v>575</v>
      </c>
      <c r="E293" s="9" t="s">
        <v>1289</v>
      </c>
      <c r="F293" s="9" t="s">
        <v>1224</v>
      </c>
      <c r="G293" s="9" t="s">
        <v>177</v>
      </c>
      <c r="H293" s="14">
        <v>235000</v>
      </c>
      <c r="I293" s="17">
        <v>1</v>
      </c>
      <c r="J293" s="9" t="str">
        <f t="shared" si="4"/>
        <v>Stok Terbatas</v>
      </c>
      <c r="K293" s="9" t="s">
        <v>48</v>
      </c>
      <c r="L293" s="9" t="s">
        <v>40</v>
      </c>
      <c r="M293" s="10"/>
    </row>
    <row r="294" spans="1:13">
      <c r="A294" s="20" t="s">
        <v>1290</v>
      </c>
      <c r="B294" s="23">
        <v>15</v>
      </c>
      <c r="C294" s="26" t="s">
        <v>542</v>
      </c>
      <c r="D294" s="9" t="s">
        <v>575</v>
      </c>
      <c r="E294" s="9" t="s">
        <v>1291</v>
      </c>
      <c r="F294" s="9" t="s">
        <v>1224</v>
      </c>
      <c r="G294" s="9" t="s">
        <v>606</v>
      </c>
      <c r="H294" s="14">
        <v>235000</v>
      </c>
      <c r="I294" s="17">
        <v>1</v>
      </c>
      <c r="J294" s="9" t="str">
        <f t="shared" si="4"/>
        <v>Stok Terbatas</v>
      </c>
      <c r="K294" s="9" t="s">
        <v>48</v>
      </c>
      <c r="L294" s="9" t="s">
        <v>40</v>
      </c>
      <c r="M294" s="10"/>
    </row>
    <row r="295" spans="1:13">
      <c r="A295" s="20" t="s">
        <v>1292</v>
      </c>
      <c r="B295" s="23">
        <v>15</v>
      </c>
      <c r="C295" s="26" t="s">
        <v>542</v>
      </c>
      <c r="D295" s="9" t="s">
        <v>575</v>
      </c>
      <c r="E295" s="9" t="s">
        <v>1293</v>
      </c>
      <c r="F295" s="9" t="s">
        <v>1224</v>
      </c>
      <c r="G295" s="9" t="s">
        <v>382</v>
      </c>
      <c r="H295" s="14">
        <v>235000</v>
      </c>
      <c r="I295" s="17">
        <v>1</v>
      </c>
      <c r="J295" s="9" t="str">
        <f t="shared" si="4"/>
        <v>Stok Terbatas</v>
      </c>
      <c r="K295" s="9" t="s">
        <v>48</v>
      </c>
      <c r="L295" s="9" t="s">
        <v>40</v>
      </c>
      <c r="M295" s="10"/>
    </row>
    <row r="296" spans="1:13">
      <c r="A296" s="20" t="s">
        <v>1294</v>
      </c>
      <c r="B296" s="23">
        <v>17</v>
      </c>
      <c r="C296" s="26" t="s">
        <v>582</v>
      </c>
      <c r="D296" s="9" t="s">
        <v>580</v>
      </c>
      <c r="E296" s="9" t="s">
        <v>1295</v>
      </c>
      <c r="F296" s="9" t="s">
        <v>1296</v>
      </c>
      <c r="G296" s="9"/>
      <c r="H296" s="14">
        <v>99000</v>
      </c>
      <c r="I296" s="17">
        <v>2</v>
      </c>
      <c r="J296" s="9" t="str">
        <f t="shared" si="4"/>
        <v>Stok Terbatas</v>
      </c>
      <c r="K296" s="9" t="s">
        <v>239</v>
      </c>
      <c r="L296" s="9" t="s">
        <v>40</v>
      </c>
      <c r="M296" s="10"/>
    </row>
    <row r="297" spans="1:13">
      <c r="A297" s="20" t="s">
        <v>1297</v>
      </c>
      <c r="B297" s="23">
        <v>17</v>
      </c>
      <c r="C297" s="26" t="s">
        <v>582</v>
      </c>
      <c r="D297" s="9" t="s">
        <v>580</v>
      </c>
      <c r="E297" s="9" t="s">
        <v>1298</v>
      </c>
      <c r="F297" s="9" t="s">
        <v>1299</v>
      </c>
      <c r="G297" s="9"/>
      <c r="H297" s="14">
        <v>99000</v>
      </c>
      <c r="I297" s="17">
        <v>1</v>
      </c>
      <c r="J297" s="9" t="str">
        <f t="shared" si="4"/>
        <v>Stok Terbatas</v>
      </c>
      <c r="K297" s="9" t="s">
        <v>239</v>
      </c>
      <c r="L297" s="9" t="s">
        <v>40</v>
      </c>
      <c r="M297" s="10"/>
    </row>
    <row r="298" spans="1:13">
      <c r="A298" s="20" t="s">
        <v>1300</v>
      </c>
      <c r="B298" s="23">
        <v>17</v>
      </c>
      <c r="C298" s="26" t="s">
        <v>582</v>
      </c>
      <c r="D298" s="9" t="s">
        <v>585</v>
      </c>
      <c r="E298" s="9" t="s">
        <v>1301</v>
      </c>
      <c r="F298" s="9" t="s">
        <v>588</v>
      </c>
      <c r="G298" s="9"/>
      <c r="H298" s="14">
        <v>99000</v>
      </c>
      <c r="I298" s="17">
        <v>1</v>
      </c>
      <c r="J298" s="9" t="str">
        <f t="shared" si="4"/>
        <v>Stok Terbatas</v>
      </c>
      <c r="K298" s="9" t="s">
        <v>239</v>
      </c>
      <c r="L298" s="9" t="s">
        <v>40</v>
      </c>
      <c r="M298" s="10"/>
    </row>
    <row r="299" spans="1:13">
      <c r="A299" s="20" t="s">
        <v>1302</v>
      </c>
      <c r="B299" s="23">
        <v>17</v>
      </c>
      <c r="C299" s="26" t="s">
        <v>582</v>
      </c>
      <c r="D299" s="9" t="s">
        <v>589</v>
      </c>
      <c r="E299" s="9" t="s">
        <v>1303</v>
      </c>
      <c r="F299" s="9" t="s">
        <v>592</v>
      </c>
      <c r="G299" s="9"/>
      <c r="H299" s="14">
        <v>119000</v>
      </c>
      <c r="I299" s="17">
        <v>1</v>
      </c>
      <c r="J299" s="9" t="str">
        <f t="shared" si="4"/>
        <v>Stok Terbatas</v>
      </c>
      <c r="K299" s="9" t="s">
        <v>239</v>
      </c>
      <c r="L299" s="9" t="s">
        <v>40</v>
      </c>
      <c r="M299" s="10"/>
    </row>
    <row r="300" spans="1:13">
      <c r="A300" s="20" t="s">
        <v>1304</v>
      </c>
      <c r="B300" s="23">
        <v>18</v>
      </c>
      <c r="C300" s="26" t="s">
        <v>595</v>
      </c>
      <c r="D300" s="9" t="s">
        <v>593</v>
      </c>
      <c r="E300" s="9" t="s">
        <v>1305</v>
      </c>
      <c r="F300" s="9" t="s">
        <v>372</v>
      </c>
      <c r="G300" s="9"/>
      <c r="H300" s="14">
        <v>425000</v>
      </c>
      <c r="I300" s="17">
        <v>1</v>
      </c>
      <c r="J300" s="9" t="str">
        <f t="shared" si="4"/>
        <v>Stok Terbatas</v>
      </c>
      <c r="K300" s="9" t="s">
        <v>33</v>
      </c>
      <c r="L300" s="9" t="s">
        <v>40</v>
      </c>
      <c r="M300" s="10"/>
    </row>
    <row r="301" spans="1:13">
      <c r="A301" s="20" t="s">
        <v>1306</v>
      </c>
      <c r="B301" s="23">
        <v>18</v>
      </c>
      <c r="C301" s="26" t="s">
        <v>595</v>
      </c>
      <c r="D301" s="9" t="s">
        <v>593</v>
      </c>
      <c r="E301" s="9" t="s">
        <v>1307</v>
      </c>
      <c r="F301" s="9" t="s">
        <v>558</v>
      </c>
      <c r="G301" s="9"/>
      <c r="H301" s="14">
        <v>425000</v>
      </c>
      <c r="I301" s="17">
        <v>1</v>
      </c>
      <c r="J301" s="9" t="str">
        <f t="shared" si="4"/>
        <v>Stok Terbatas</v>
      </c>
      <c r="K301" s="9" t="s">
        <v>33</v>
      </c>
      <c r="L301" s="9" t="s">
        <v>40</v>
      </c>
      <c r="M301" s="10"/>
    </row>
    <row r="302" spans="1:13">
      <c r="A302" s="20" t="s">
        <v>1308</v>
      </c>
      <c r="B302" s="23">
        <v>18</v>
      </c>
      <c r="C302" s="26" t="s">
        <v>595</v>
      </c>
      <c r="D302" s="9" t="s">
        <v>593</v>
      </c>
      <c r="E302" s="9" t="s">
        <v>1309</v>
      </c>
      <c r="F302" s="9" t="s">
        <v>1310</v>
      </c>
      <c r="G302" s="9"/>
      <c r="H302" s="14">
        <v>425000</v>
      </c>
      <c r="I302" s="17">
        <v>1</v>
      </c>
      <c r="J302" s="9" t="str">
        <f t="shared" si="4"/>
        <v>Stok Terbatas</v>
      </c>
      <c r="K302" s="9" t="s">
        <v>33</v>
      </c>
      <c r="L302" s="9" t="s">
        <v>40</v>
      </c>
      <c r="M302" s="10"/>
    </row>
    <row r="303" spans="1:13">
      <c r="A303" s="20" t="s">
        <v>1311</v>
      </c>
      <c r="B303" s="23">
        <v>18</v>
      </c>
      <c r="C303" s="26" t="s">
        <v>595</v>
      </c>
      <c r="D303" s="9" t="s">
        <v>593</v>
      </c>
      <c r="E303" s="9" t="s">
        <v>1312</v>
      </c>
      <c r="F303" s="9" t="s">
        <v>1313</v>
      </c>
      <c r="G303" s="9"/>
      <c r="H303" s="14">
        <v>425000</v>
      </c>
      <c r="I303" s="17">
        <v>2</v>
      </c>
      <c r="J303" s="9" t="str">
        <f t="shared" si="4"/>
        <v>Stok Terbatas</v>
      </c>
      <c r="K303" s="9" t="s">
        <v>33</v>
      </c>
      <c r="L303" s="9" t="s">
        <v>40</v>
      </c>
      <c r="M303" s="10"/>
    </row>
    <row r="304" spans="1:13">
      <c r="A304" s="20" t="s">
        <v>1314</v>
      </c>
      <c r="B304" s="23">
        <v>21</v>
      </c>
      <c r="C304" s="26" t="s">
        <v>600</v>
      </c>
      <c r="D304" s="9" t="s">
        <v>647</v>
      </c>
      <c r="E304" s="9" t="s">
        <v>1315</v>
      </c>
      <c r="F304" s="9"/>
      <c r="G304" s="9" t="s">
        <v>382</v>
      </c>
      <c r="H304" s="14">
        <v>300000</v>
      </c>
      <c r="I304" s="17">
        <v>1</v>
      </c>
      <c r="J304" s="9" t="str">
        <f t="shared" si="4"/>
        <v>Stok Terbatas</v>
      </c>
      <c r="K304" s="9" t="s">
        <v>322</v>
      </c>
      <c r="L304" s="9" t="s">
        <v>40</v>
      </c>
      <c r="M304" s="10"/>
    </row>
    <row r="305" spans="1:13">
      <c r="A305" s="20" t="s">
        <v>1316</v>
      </c>
      <c r="B305" s="23">
        <v>21</v>
      </c>
      <c r="C305" s="26" t="s">
        <v>600</v>
      </c>
      <c r="D305" s="9" t="s">
        <v>607</v>
      </c>
      <c r="E305" s="9" t="s">
        <v>1317</v>
      </c>
      <c r="F305" s="9"/>
      <c r="G305" s="9" t="s">
        <v>606</v>
      </c>
      <c r="H305" s="14">
        <v>235000</v>
      </c>
      <c r="I305" s="17">
        <v>1</v>
      </c>
      <c r="J305" s="9" t="str">
        <f t="shared" si="4"/>
        <v>Stok Terbatas</v>
      </c>
      <c r="K305" s="9" t="s">
        <v>121</v>
      </c>
      <c r="L305" s="9" t="s">
        <v>40</v>
      </c>
      <c r="M305" s="10"/>
    </row>
    <row r="306" spans="1:13">
      <c r="A306" s="20" t="s">
        <v>1318</v>
      </c>
      <c r="B306" s="23">
        <v>21</v>
      </c>
      <c r="C306" s="26" t="s">
        <v>600</v>
      </c>
      <c r="D306" s="9" t="s">
        <v>603</v>
      </c>
      <c r="E306" s="9" t="s">
        <v>1319</v>
      </c>
      <c r="F306" s="9"/>
      <c r="G306" s="9" t="s">
        <v>606</v>
      </c>
      <c r="H306" s="14">
        <v>200000</v>
      </c>
      <c r="I306" s="17">
        <v>1</v>
      </c>
      <c r="J306" s="9" t="str">
        <f t="shared" si="4"/>
        <v>Stok Terbatas</v>
      </c>
      <c r="K306" s="9" t="s">
        <v>33</v>
      </c>
      <c r="L306" s="9" t="s">
        <v>40</v>
      </c>
      <c r="M306" s="10"/>
    </row>
    <row r="307" spans="1:13">
      <c r="A307" s="20" t="s">
        <v>1320</v>
      </c>
      <c r="B307" s="23">
        <v>21</v>
      </c>
      <c r="C307" s="26" t="s">
        <v>600</v>
      </c>
      <c r="D307" s="9" t="s">
        <v>610</v>
      </c>
      <c r="E307" s="9" t="s">
        <v>1321</v>
      </c>
      <c r="F307" s="9" t="s">
        <v>398</v>
      </c>
      <c r="G307" s="9" t="s">
        <v>606</v>
      </c>
      <c r="H307" s="14">
        <v>185000</v>
      </c>
      <c r="I307" s="17">
        <v>1</v>
      </c>
      <c r="J307" s="9" t="str">
        <f t="shared" si="4"/>
        <v>Stok Terbatas</v>
      </c>
      <c r="K307" s="9" t="s">
        <v>121</v>
      </c>
      <c r="L307" s="9" t="s">
        <v>40</v>
      </c>
      <c r="M307" s="10"/>
    </row>
    <row r="308" spans="1:13">
      <c r="A308" s="20" t="s">
        <v>1322</v>
      </c>
      <c r="B308" s="23">
        <v>21</v>
      </c>
      <c r="C308" s="26" t="s">
        <v>600</v>
      </c>
      <c r="D308" s="9" t="s">
        <v>616</v>
      </c>
      <c r="E308" s="9" t="s">
        <v>1323</v>
      </c>
      <c r="F308" s="9"/>
      <c r="G308" s="9" t="s">
        <v>618</v>
      </c>
      <c r="H308" s="14">
        <v>185000</v>
      </c>
      <c r="I308" s="17">
        <v>1</v>
      </c>
      <c r="J308" s="9" t="str">
        <f t="shared" si="4"/>
        <v>Stok Terbatas</v>
      </c>
      <c r="K308" s="9" t="s">
        <v>48</v>
      </c>
      <c r="L308" s="9" t="s">
        <v>40</v>
      </c>
      <c r="M308" s="10"/>
    </row>
    <row r="309" spans="1:13">
      <c r="A309" s="20" t="s">
        <v>1324</v>
      </c>
      <c r="B309" s="23">
        <v>21</v>
      </c>
      <c r="C309" s="26" t="s">
        <v>600</v>
      </c>
      <c r="D309" s="9" t="s">
        <v>625</v>
      </c>
      <c r="E309" s="9" t="s">
        <v>1325</v>
      </c>
      <c r="F309" s="9" t="s">
        <v>629</v>
      </c>
      <c r="G309" s="9"/>
      <c r="H309" s="14">
        <v>450000</v>
      </c>
      <c r="I309" s="17">
        <v>1</v>
      </c>
      <c r="J309" s="9" t="str">
        <f t="shared" si="4"/>
        <v>Stok Terbatas</v>
      </c>
      <c r="K309" s="9" t="s">
        <v>628</v>
      </c>
      <c r="L309" s="9" t="s">
        <v>40</v>
      </c>
      <c r="M309" s="10"/>
    </row>
    <row r="310" spans="1:13">
      <c r="A310" s="20" t="s">
        <v>1326</v>
      </c>
      <c r="B310" s="23">
        <v>21</v>
      </c>
      <c r="C310" s="26" t="s">
        <v>600</v>
      </c>
      <c r="D310" s="9" t="s">
        <v>630</v>
      </c>
      <c r="E310" s="9" t="s">
        <v>1327</v>
      </c>
      <c r="F310" s="9" t="s">
        <v>372</v>
      </c>
      <c r="G310" s="9"/>
      <c r="H310" s="14">
        <v>200000</v>
      </c>
      <c r="I310" s="17">
        <v>1</v>
      </c>
      <c r="J310" s="9" t="str">
        <f t="shared" si="4"/>
        <v>Stok Terbatas</v>
      </c>
      <c r="K310" s="9" t="s">
        <v>628</v>
      </c>
      <c r="L310" s="9" t="s">
        <v>40</v>
      </c>
      <c r="M310" s="10"/>
    </row>
    <row r="311" spans="1:13">
      <c r="A311" s="20" t="s">
        <v>1328</v>
      </c>
      <c r="B311" s="23">
        <v>21</v>
      </c>
      <c r="C311" s="26" t="s">
        <v>600</v>
      </c>
      <c r="D311" s="9" t="s">
        <v>633</v>
      </c>
      <c r="E311" s="9" t="s">
        <v>1329</v>
      </c>
      <c r="F311" s="9" t="s">
        <v>636</v>
      </c>
      <c r="G311" s="9"/>
      <c r="H311" s="14">
        <v>600000</v>
      </c>
      <c r="I311" s="17">
        <v>1</v>
      </c>
      <c r="J311" s="9" t="str">
        <f t="shared" si="4"/>
        <v>Stok Terbatas</v>
      </c>
      <c r="K311" s="9" t="s">
        <v>628</v>
      </c>
      <c r="L311" s="9" t="s">
        <v>40</v>
      </c>
      <c r="M311" s="10"/>
    </row>
    <row r="312" spans="1:13">
      <c r="A312" s="20" t="s">
        <v>1330</v>
      </c>
      <c r="B312" s="23">
        <v>21</v>
      </c>
      <c r="C312" s="26" t="s">
        <v>600</v>
      </c>
      <c r="D312" s="9" t="s">
        <v>619</v>
      </c>
      <c r="E312" s="9" t="s">
        <v>1331</v>
      </c>
      <c r="F312" s="9"/>
      <c r="G312" s="9" t="s">
        <v>382</v>
      </c>
      <c r="H312" s="14">
        <v>150000</v>
      </c>
      <c r="I312" s="17">
        <v>1</v>
      </c>
      <c r="J312" s="9" t="str">
        <f t="shared" si="4"/>
        <v>Stok Terbatas</v>
      </c>
      <c r="K312" s="9" t="s">
        <v>48</v>
      </c>
      <c r="L312" s="9" t="s">
        <v>40</v>
      </c>
      <c r="M312" s="10"/>
    </row>
    <row r="313" spans="1:13">
      <c r="A313" s="20" t="s">
        <v>1332</v>
      </c>
      <c r="B313" s="23">
        <v>21</v>
      </c>
      <c r="C313" s="26" t="s">
        <v>600</v>
      </c>
      <c r="D313" s="9" t="s">
        <v>622</v>
      </c>
      <c r="E313" s="9" t="s">
        <v>624</v>
      </c>
      <c r="F313" s="9"/>
      <c r="G313" s="9"/>
      <c r="H313" s="14">
        <v>90000</v>
      </c>
      <c r="I313" s="17">
        <v>1</v>
      </c>
      <c r="J313" s="9" t="str">
        <f t="shared" si="4"/>
        <v>Stok Terbatas</v>
      </c>
      <c r="K313" s="9" t="s">
        <v>48</v>
      </c>
      <c r="L313" s="9" t="s">
        <v>40</v>
      </c>
      <c r="M313" s="10"/>
    </row>
    <row r="314" spans="1:13">
      <c r="A314" s="20" t="s">
        <v>1333</v>
      </c>
      <c r="B314" s="23">
        <v>21</v>
      </c>
      <c r="C314" s="26" t="s">
        <v>600</v>
      </c>
      <c r="D314" s="9" t="s">
        <v>641</v>
      </c>
      <c r="E314" s="9" t="s">
        <v>643</v>
      </c>
      <c r="F314" s="9"/>
      <c r="G314" s="9"/>
      <c r="H314" s="14">
        <v>200000</v>
      </c>
      <c r="I314" s="17">
        <v>1</v>
      </c>
      <c r="J314" s="9" t="str">
        <f t="shared" si="4"/>
        <v>Stok Terbatas</v>
      </c>
      <c r="K314" s="9" t="s">
        <v>284</v>
      </c>
      <c r="L314" s="9" t="s">
        <v>40</v>
      </c>
      <c r="M314" s="10"/>
    </row>
    <row r="315" spans="1:13">
      <c r="A315" s="20" t="s">
        <v>1334</v>
      </c>
      <c r="B315" s="23">
        <v>21</v>
      </c>
      <c r="C315" s="26" t="s">
        <v>600</v>
      </c>
      <c r="D315" s="9" t="s">
        <v>644</v>
      </c>
      <c r="E315" s="9" t="s">
        <v>646</v>
      </c>
      <c r="F315" s="9"/>
      <c r="G315" s="9"/>
      <c r="H315" s="14">
        <v>285000</v>
      </c>
      <c r="I315" s="17">
        <v>1</v>
      </c>
      <c r="J315" s="9" t="str">
        <f t="shared" si="4"/>
        <v>Stok Terbatas</v>
      </c>
      <c r="K315" s="9" t="s">
        <v>284</v>
      </c>
      <c r="L315" s="9" t="s">
        <v>40</v>
      </c>
      <c r="M315" s="10"/>
    </row>
    <row r="316" spans="1:13">
      <c r="A316" s="20" t="s">
        <v>1335</v>
      </c>
      <c r="B316" s="23">
        <v>21</v>
      </c>
      <c r="C316" s="26" t="s">
        <v>600</v>
      </c>
      <c r="D316" s="9" t="s">
        <v>613</v>
      </c>
      <c r="E316" s="9" t="s">
        <v>615</v>
      </c>
      <c r="F316" s="9"/>
      <c r="G316" s="9"/>
      <c r="H316" s="14">
        <v>185000</v>
      </c>
      <c r="I316" s="17">
        <v>1</v>
      </c>
      <c r="J316" s="9" t="str">
        <f t="shared" si="4"/>
        <v>Stok Terbatas</v>
      </c>
      <c r="K316" s="9" t="s">
        <v>121</v>
      </c>
      <c r="L316" s="9" t="s">
        <v>40</v>
      </c>
      <c r="M316" s="10"/>
    </row>
    <row r="317" spans="1:13">
      <c r="A317" s="20" t="s">
        <v>1336</v>
      </c>
      <c r="B317" s="23">
        <v>21</v>
      </c>
      <c r="C317" s="26" t="s">
        <v>600</v>
      </c>
      <c r="D317" s="9" t="s">
        <v>637</v>
      </c>
      <c r="E317" s="9" t="s">
        <v>1337</v>
      </c>
      <c r="F317" s="9" t="s">
        <v>499</v>
      </c>
      <c r="G317" s="9" t="s">
        <v>640</v>
      </c>
      <c r="H317" s="14">
        <v>250000</v>
      </c>
      <c r="I317" s="17">
        <v>1</v>
      </c>
      <c r="J317" s="9" t="str">
        <f t="shared" si="4"/>
        <v>Stok Terbatas</v>
      </c>
      <c r="K317" s="9" t="s">
        <v>628</v>
      </c>
      <c r="L317" s="9" t="s">
        <v>40</v>
      </c>
      <c r="M317" s="10"/>
    </row>
    <row r="318" spans="1:13">
      <c r="A318" s="20" t="s">
        <v>1338</v>
      </c>
      <c r="B318" s="23">
        <v>21</v>
      </c>
      <c r="C318" s="26" t="s">
        <v>600</v>
      </c>
      <c r="D318" s="9" t="s">
        <v>598</v>
      </c>
      <c r="E318" s="9" t="s">
        <v>601</v>
      </c>
      <c r="F318" s="9"/>
      <c r="G318" s="9"/>
      <c r="H318" s="14">
        <v>75000</v>
      </c>
      <c r="I318" s="17">
        <v>1</v>
      </c>
      <c r="J318" s="9" t="str">
        <f t="shared" si="4"/>
        <v>Stok Terbatas</v>
      </c>
      <c r="K318" s="9" t="s">
        <v>371</v>
      </c>
      <c r="L318" s="9" t="s">
        <v>40</v>
      </c>
      <c r="M318" s="10"/>
    </row>
    <row r="319" spans="1:13">
      <c r="A319" s="20" t="s">
        <v>1339</v>
      </c>
      <c r="B319" s="23">
        <v>22</v>
      </c>
      <c r="C319" s="26" t="s">
        <v>652</v>
      </c>
      <c r="D319" s="9" t="s">
        <v>650</v>
      </c>
      <c r="E319" s="9" t="s">
        <v>1340</v>
      </c>
      <c r="F319" s="9" t="s">
        <v>1179</v>
      </c>
      <c r="G319" s="9" t="s">
        <v>606</v>
      </c>
      <c r="H319" s="14">
        <v>435000</v>
      </c>
      <c r="I319" s="17">
        <v>1</v>
      </c>
      <c r="J319" s="9" t="str">
        <f t="shared" si="4"/>
        <v>Stok Terbatas</v>
      </c>
      <c r="K319" s="9" t="s">
        <v>33</v>
      </c>
      <c r="L319" s="9" t="s">
        <v>40</v>
      </c>
      <c r="M319" s="10"/>
    </row>
    <row r="320" spans="1:13">
      <c r="A320" s="20" t="s">
        <v>1341</v>
      </c>
      <c r="B320" s="23">
        <v>22</v>
      </c>
      <c r="C320" s="26" t="s">
        <v>652</v>
      </c>
      <c r="D320" s="9" t="s">
        <v>650</v>
      </c>
      <c r="E320" s="9" t="s">
        <v>1342</v>
      </c>
      <c r="F320" s="9" t="s">
        <v>1179</v>
      </c>
      <c r="G320" s="9" t="s">
        <v>382</v>
      </c>
      <c r="H320" s="14">
        <v>435000</v>
      </c>
      <c r="I320" s="17">
        <v>1</v>
      </c>
      <c r="J320" s="9" t="str">
        <f t="shared" si="4"/>
        <v>Stok Terbatas</v>
      </c>
      <c r="K320" s="9" t="s">
        <v>33</v>
      </c>
      <c r="L320" s="9" t="s">
        <v>40</v>
      </c>
      <c r="M320" s="10"/>
    </row>
    <row r="321" spans="1:13">
      <c r="A321" s="20" t="s">
        <v>1343</v>
      </c>
      <c r="B321" s="23">
        <v>22</v>
      </c>
      <c r="C321" s="26" t="s">
        <v>652</v>
      </c>
      <c r="D321" s="9" t="s">
        <v>650</v>
      </c>
      <c r="E321" s="9" t="s">
        <v>1344</v>
      </c>
      <c r="F321" s="9" t="s">
        <v>1345</v>
      </c>
      <c r="G321" s="9" t="s">
        <v>606</v>
      </c>
      <c r="H321" s="14">
        <v>435000</v>
      </c>
      <c r="I321" s="17">
        <v>1</v>
      </c>
      <c r="J321" s="9" t="str">
        <f t="shared" si="4"/>
        <v>Stok Terbatas</v>
      </c>
      <c r="K321" s="9" t="s">
        <v>33</v>
      </c>
      <c r="L321" s="9" t="s">
        <v>40</v>
      </c>
      <c r="M321" s="10"/>
    </row>
    <row r="322" spans="1:13">
      <c r="A322" s="20" t="s">
        <v>1346</v>
      </c>
      <c r="B322" s="23">
        <v>22</v>
      </c>
      <c r="C322" s="26" t="s">
        <v>652</v>
      </c>
      <c r="D322" s="9" t="s">
        <v>650</v>
      </c>
      <c r="E322" s="9" t="s">
        <v>1347</v>
      </c>
      <c r="F322" s="9" t="s">
        <v>1345</v>
      </c>
      <c r="G322" s="9" t="s">
        <v>382</v>
      </c>
      <c r="H322" s="14">
        <v>435000</v>
      </c>
      <c r="I322" s="17">
        <v>1</v>
      </c>
      <c r="J322" s="9" t="str">
        <f t="shared" ref="J322:J385" si="5">IF(I322&lt;=0,"Habis",IF(I322&lt;=2,"Stok Terbatas","Tersedia"))</f>
        <v>Stok Terbatas</v>
      </c>
      <c r="K322" s="9" t="s">
        <v>33</v>
      </c>
      <c r="L322" s="9" t="s">
        <v>40</v>
      </c>
      <c r="M322" s="10"/>
    </row>
    <row r="323" spans="1:13">
      <c r="A323" s="20" t="s">
        <v>1348</v>
      </c>
      <c r="B323" s="23">
        <v>22</v>
      </c>
      <c r="C323" s="26" t="s">
        <v>652</v>
      </c>
      <c r="D323" s="9" t="s">
        <v>671</v>
      </c>
      <c r="E323" s="9" t="s">
        <v>1349</v>
      </c>
      <c r="F323" s="9" t="s">
        <v>1179</v>
      </c>
      <c r="G323" s="9" t="s">
        <v>177</v>
      </c>
      <c r="H323" s="14">
        <v>425000</v>
      </c>
      <c r="I323" s="17">
        <v>1</v>
      </c>
      <c r="J323" s="9" t="str">
        <f t="shared" si="5"/>
        <v>Stok Terbatas</v>
      </c>
      <c r="K323" s="9" t="s">
        <v>48</v>
      </c>
      <c r="L323" s="9" t="s">
        <v>40</v>
      </c>
      <c r="M323" s="10"/>
    </row>
    <row r="324" spans="1:13">
      <c r="A324" s="20" t="s">
        <v>1350</v>
      </c>
      <c r="B324" s="23">
        <v>22</v>
      </c>
      <c r="C324" s="26" t="s">
        <v>652</v>
      </c>
      <c r="D324" s="9" t="s">
        <v>671</v>
      </c>
      <c r="E324" s="9" t="s">
        <v>1351</v>
      </c>
      <c r="F324" s="9" t="s">
        <v>1179</v>
      </c>
      <c r="G324" s="9" t="s">
        <v>382</v>
      </c>
      <c r="H324" s="14">
        <v>425000</v>
      </c>
      <c r="I324" s="17">
        <v>1</v>
      </c>
      <c r="J324" s="9" t="str">
        <f t="shared" si="5"/>
        <v>Stok Terbatas</v>
      </c>
      <c r="K324" s="9" t="s">
        <v>48</v>
      </c>
      <c r="L324" s="9" t="s">
        <v>40</v>
      </c>
      <c r="M324" s="10"/>
    </row>
    <row r="325" spans="1:13">
      <c r="A325" s="20" t="s">
        <v>1352</v>
      </c>
      <c r="B325" s="23">
        <v>22</v>
      </c>
      <c r="C325" s="26" t="s">
        <v>652</v>
      </c>
      <c r="D325" s="9" t="s">
        <v>671</v>
      </c>
      <c r="E325" s="9" t="s">
        <v>1353</v>
      </c>
      <c r="F325" s="9" t="s">
        <v>1345</v>
      </c>
      <c r="G325" s="9" t="s">
        <v>177</v>
      </c>
      <c r="H325" s="14">
        <v>425000</v>
      </c>
      <c r="I325" s="17">
        <v>1</v>
      </c>
      <c r="J325" s="9" t="str">
        <f t="shared" si="5"/>
        <v>Stok Terbatas</v>
      </c>
      <c r="K325" s="9" t="s">
        <v>48</v>
      </c>
      <c r="L325" s="9" t="s">
        <v>40</v>
      </c>
      <c r="M325" s="10"/>
    </row>
    <row r="326" spans="1:13">
      <c r="A326" s="20" t="s">
        <v>1354</v>
      </c>
      <c r="B326" s="23">
        <v>22</v>
      </c>
      <c r="C326" s="26" t="s">
        <v>652</v>
      </c>
      <c r="D326" s="9" t="s">
        <v>675</v>
      </c>
      <c r="E326" s="9" t="s">
        <v>1355</v>
      </c>
      <c r="F326" s="9" t="s">
        <v>1179</v>
      </c>
      <c r="G326" s="9" t="s">
        <v>678</v>
      </c>
      <c r="H326" s="14">
        <v>295000</v>
      </c>
      <c r="I326" s="17">
        <v>1</v>
      </c>
      <c r="J326" s="9" t="str">
        <f t="shared" si="5"/>
        <v>Stok Terbatas</v>
      </c>
      <c r="K326" s="9" t="s">
        <v>48</v>
      </c>
      <c r="L326" s="9" t="s">
        <v>40</v>
      </c>
      <c r="M326" s="10"/>
    </row>
    <row r="327" spans="1:13">
      <c r="A327" s="20" t="s">
        <v>1356</v>
      </c>
      <c r="B327" s="23">
        <v>22</v>
      </c>
      <c r="C327" s="26" t="s">
        <v>652</v>
      </c>
      <c r="D327" s="9" t="s">
        <v>675</v>
      </c>
      <c r="E327" s="9" t="s">
        <v>1357</v>
      </c>
      <c r="F327" s="9" t="s">
        <v>1345</v>
      </c>
      <c r="G327" s="9" t="s">
        <v>678</v>
      </c>
      <c r="H327" s="14">
        <v>295000</v>
      </c>
      <c r="I327" s="17">
        <v>1</v>
      </c>
      <c r="J327" s="9" t="str">
        <f t="shared" si="5"/>
        <v>Stok Terbatas</v>
      </c>
      <c r="K327" s="9" t="s">
        <v>48</v>
      </c>
      <c r="L327" s="9" t="s">
        <v>40</v>
      </c>
      <c r="M327" s="10"/>
    </row>
    <row r="328" spans="1:13">
      <c r="A328" s="20" t="s">
        <v>1358</v>
      </c>
      <c r="B328" s="23">
        <v>22</v>
      </c>
      <c r="C328" s="26" t="s">
        <v>652</v>
      </c>
      <c r="D328" s="9" t="s">
        <v>655</v>
      </c>
      <c r="E328" s="9" t="s">
        <v>1359</v>
      </c>
      <c r="F328" s="9" t="s">
        <v>658</v>
      </c>
      <c r="G328" s="9"/>
      <c r="H328" s="14">
        <v>299000</v>
      </c>
      <c r="I328" s="17">
        <v>1</v>
      </c>
      <c r="J328" s="9" t="str">
        <f t="shared" si="5"/>
        <v>Stok Terbatas</v>
      </c>
      <c r="K328" s="9" t="s">
        <v>239</v>
      </c>
      <c r="L328" s="9" t="s">
        <v>40</v>
      </c>
      <c r="M328" s="10"/>
    </row>
    <row r="329" spans="1:13">
      <c r="A329" s="20" t="s">
        <v>1360</v>
      </c>
      <c r="B329" s="23">
        <v>22</v>
      </c>
      <c r="C329" s="26" t="s">
        <v>652</v>
      </c>
      <c r="D329" s="9" t="s">
        <v>663</v>
      </c>
      <c r="E329" s="9" t="s">
        <v>1361</v>
      </c>
      <c r="F329" s="9" t="s">
        <v>372</v>
      </c>
      <c r="G329" s="9"/>
      <c r="H329" s="14">
        <v>355000</v>
      </c>
      <c r="I329" s="17">
        <v>1</v>
      </c>
      <c r="J329" s="9" t="str">
        <f t="shared" si="5"/>
        <v>Stok Terbatas</v>
      </c>
      <c r="K329" s="9" t="s">
        <v>133</v>
      </c>
      <c r="L329" s="9" t="s">
        <v>40</v>
      </c>
      <c r="M329" s="10"/>
    </row>
    <row r="330" spans="1:13">
      <c r="A330" s="20" t="s">
        <v>1362</v>
      </c>
      <c r="B330" s="23">
        <v>22</v>
      </c>
      <c r="C330" s="26" t="s">
        <v>652</v>
      </c>
      <c r="D330" s="9" t="s">
        <v>663</v>
      </c>
      <c r="E330" s="9" t="s">
        <v>1363</v>
      </c>
      <c r="F330" s="9" t="s">
        <v>1364</v>
      </c>
      <c r="G330" s="9"/>
      <c r="H330" s="14">
        <v>355000</v>
      </c>
      <c r="I330" s="17">
        <v>1</v>
      </c>
      <c r="J330" s="9" t="str">
        <f t="shared" si="5"/>
        <v>Stok Terbatas</v>
      </c>
      <c r="K330" s="9" t="s">
        <v>133</v>
      </c>
      <c r="L330" s="9" t="s">
        <v>40</v>
      </c>
      <c r="M330" s="10"/>
    </row>
    <row r="331" spans="1:13">
      <c r="A331" s="20" t="s">
        <v>1365</v>
      </c>
      <c r="B331" s="23">
        <v>22</v>
      </c>
      <c r="C331" s="26" t="s">
        <v>652</v>
      </c>
      <c r="D331" s="9" t="s">
        <v>667</v>
      </c>
      <c r="E331" s="9" t="s">
        <v>1366</v>
      </c>
      <c r="F331" s="9" t="s">
        <v>670</v>
      </c>
      <c r="G331" s="9"/>
      <c r="H331" s="14">
        <v>335000</v>
      </c>
      <c r="I331" s="17">
        <v>1</v>
      </c>
      <c r="J331" s="9" t="str">
        <f t="shared" si="5"/>
        <v>Stok Terbatas</v>
      </c>
      <c r="K331" s="9" t="s">
        <v>133</v>
      </c>
      <c r="L331" s="9" t="s">
        <v>40</v>
      </c>
      <c r="M331" s="10"/>
    </row>
    <row r="332" spans="1:13">
      <c r="A332" s="20" t="s">
        <v>1367</v>
      </c>
      <c r="B332" s="23">
        <v>22</v>
      </c>
      <c r="C332" s="26" t="s">
        <v>652</v>
      </c>
      <c r="D332" s="9" t="s">
        <v>659</v>
      </c>
      <c r="E332" s="9" t="s">
        <v>1368</v>
      </c>
      <c r="F332" s="9" t="s">
        <v>512</v>
      </c>
      <c r="G332" s="9"/>
      <c r="H332" s="14">
        <v>299000</v>
      </c>
      <c r="I332" s="17">
        <v>1</v>
      </c>
      <c r="J332" s="9" t="str">
        <f t="shared" si="5"/>
        <v>Stok Terbatas</v>
      </c>
      <c r="K332" s="9" t="s">
        <v>239</v>
      </c>
      <c r="L332" s="9" t="s">
        <v>40</v>
      </c>
      <c r="M332" s="10"/>
    </row>
    <row r="333" spans="1:13">
      <c r="A333" s="21" t="s">
        <v>1369</v>
      </c>
      <c r="B333" s="24">
        <v>22</v>
      </c>
      <c r="C333" s="27" t="s">
        <v>652</v>
      </c>
      <c r="D333" s="11" t="s">
        <v>659</v>
      </c>
      <c r="E333" s="11" t="s">
        <v>1370</v>
      </c>
      <c r="F333" s="11" t="s">
        <v>1371</v>
      </c>
      <c r="G333" s="11"/>
      <c r="H333" s="15">
        <v>299000</v>
      </c>
      <c r="I333" s="18">
        <v>1</v>
      </c>
      <c r="J333" s="11" t="str">
        <f t="shared" si="5"/>
        <v>Stok Terbatas</v>
      </c>
      <c r="K333" s="11" t="s">
        <v>239</v>
      </c>
      <c r="L333" s="11" t="s">
        <v>40</v>
      </c>
      <c r="M333" s="12"/>
    </row>
  </sheetData>
  <conditionalFormatting sqref="J2:J333">
    <cfRule type="expression" dxfId="2" priority="1">
      <formula>J2="Habis"</formula>
    </cfRule>
    <cfRule type="expression" dxfId="1" priority="2">
      <formula>J2="Stok Terbatas"</formula>
    </cfRule>
    <cfRule type="expression" dxfId="0" priority="3">
      <formula>J2="Tersedia"</formula>
    </cfRule>
  </conditionalFormatting>
  <dataValidations count="2">
    <dataValidation type="list" sqref="K2:K333" xr:uid="{00000000-0002-0000-0100-000000000000}">
      <formula1>"Aksesoris,Bag,Blouse,Dress,Hijab,Outer,Pants,Set,Shirt,Shoes,Skirt,Sweater,Tunic,Vest"</formula1>
    </dataValidation>
    <dataValidation type="list" sqref="L2:L333" xr:uid="{00000000-0002-0000-0100-000001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/>
  </sheetViews>
  <sheetFormatPr defaultRowHeight="14"/>
  <cols>
    <col min="1" max="1" width="13" customWidth="1"/>
    <col min="2" max="2" width="24" customWidth="1"/>
    <col min="3" max="6" width="16" customWidth="1"/>
    <col min="7" max="7" width="30" customWidth="1"/>
    <col min="8" max="8" width="24" customWidth="1"/>
    <col min="9" max="9" width="40" customWidth="1"/>
    <col min="10" max="10" width="16" customWidth="1"/>
    <col min="11" max="11" width="30" customWidth="1"/>
  </cols>
  <sheetData>
    <row r="1" spans="1:11" ht="25.4" customHeight="1">
      <c r="A1" s="1" t="s">
        <v>2</v>
      </c>
      <c r="B1" s="2" t="s">
        <v>1372</v>
      </c>
      <c r="C1" s="2" t="s">
        <v>1373</v>
      </c>
      <c r="D1" s="2" t="s">
        <v>1374</v>
      </c>
      <c r="E1" s="2" t="s">
        <v>10</v>
      </c>
      <c r="F1" s="2" t="s">
        <v>1375</v>
      </c>
      <c r="G1" s="2" t="s">
        <v>1376</v>
      </c>
      <c r="H1" s="2" t="s">
        <v>1377</v>
      </c>
      <c r="I1" s="2" t="s">
        <v>15</v>
      </c>
      <c r="J1" s="2" t="s">
        <v>22</v>
      </c>
      <c r="K1" s="3" t="s">
        <v>23</v>
      </c>
    </row>
    <row r="2" spans="1:11">
      <c r="A2" s="28">
        <v>1</v>
      </c>
      <c r="B2" s="31" t="s">
        <v>31</v>
      </c>
      <c r="C2" s="16">
        <v>4</v>
      </c>
      <c r="D2" s="16">
        <v>37</v>
      </c>
      <c r="E2" s="16">
        <v>90</v>
      </c>
      <c r="F2" s="7" t="s">
        <v>40</v>
      </c>
      <c r="G2" s="7"/>
      <c r="H2" s="7"/>
      <c r="I2" s="7"/>
      <c r="J2" s="7" t="s">
        <v>40</v>
      </c>
      <c r="K2" s="8"/>
    </row>
    <row r="3" spans="1:11">
      <c r="A3" s="29">
        <v>2</v>
      </c>
      <c r="B3" s="32" t="s">
        <v>55</v>
      </c>
      <c r="C3" s="17">
        <v>9</v>
      </c>
      <c r="D3" s="17">
        <v>18</v>
      </c>
      <c r="E3" s="17">
        <v>34</v>
      </c>
      <c r="F3" s="9" t="s">
        <v>40</v>
      </c>
      <c r="G3" s="9"/>
      <c r="H3" s="9"/>
      <c r="I3" s="9"/>
      <c r="J3" s="9" t="s">
        <v>40</v>
      </c>
      <c r="K3" s="10"/>
    </row>
    <row r="4" spans="1:11">
      <c r="A4" s="29">
        <v>3</v>
      </c>
      <c r="B4" s="32" t="s">
        <v>96</v>
      </c>
      <c r="C4" s="17">
        <v>30</v>
      </c>
      <c r="D4" s="17">
        <v>66</v>
      </c>
      <c r="E4" s="17">
        <v>94</v>
      </c>
      <c r="F4" s="9" t="s">
        <v>40</v>
      </c>
      <c r="G4" s="9"/>
      <c r="H4" s="9"/>
      <c r="I4" s="9"/>
      <c r="J4" s="9" t="s">
        <v>40</v>
      </c>
      <c r="K4" s="10"/>
    </row>
    <row r="5" spans="1:11">
      <c r="A5" s="29">
        <v>4</v>
      </c>
      <c r="B5" s="32" t="s">
        <v>213</v>
      </c>
      <c r="C5" s="17">
        <v>35</v>
      </c>
      <c r="D5" s="17">
        <v>44</v>
      </c>
      <c r="E5" s="17">
        <v>58</v>
      </c>
      <c r="F5" s="9" t="s">
        <v>40</v>
      </c>
      <c r="G5" s="9"/>
      <c r="H5" s="9"/>
      <c r="I5" s="9"/>
      <c r="J5" s="9" t="s">
        <v>40</v>
      </c>
      <c r="K5" s="10"/>
    </row>
    <row r="6" spans="1:11">
      <c r="A6" s="29">
        <v>5</v>
      </c>
      <c r="B6" s="32" t="s">
        <v>1378</v>
      </c>
      <c r="C6" s="17">
        <v>0</v>
      </c>
      <c r="D6" s="17">
        <v>0</v>
      </c>
      <c r="E6" s="17">
        <v>0</v>
      </c>
      <c r="F6" s="9" t="s">
        <v>1379</v>
      </c>
      <c r="G6" s="9"/>
      <c r="H6" s="9"/>
      <c r="I6" s="9"/>
      <c r="J6" s="9" t="s">
        <v>1380</v>
      </c>
      <c r="K6" s="10"/>
    </row>
    <row r="7" spans="1:11">
      <c r="A7" s="29">
        <v>6</v>
      </c>
      <c r="B7" s="32" t="s">
        <v>335</v>
      </c>
      <c r="C7" s="17">
        <v>5</v>
      </c>
      <c r="D7" s="17">
        <v>5</v>
      </c>
      <c r="E7" s="17">
        <v>6</v>
      </c>
      <c r="F7" s="9" t="s">
        <v>40</v>
      </c>
      <c r="G7" s="9"/>
      <c r="H7" s="9"/>
      <c r="I7" s="9"/>
      <c r="J7" s="9" t="s">
        <v>40</v>
      </c>
      <c r="K7" s="10"/>
    </row>
    <row r="8" spans="1:11">
      <c r="A8" s="29">
        <v>7</v>
      </c>
      <c r="B8" s="32" t="s">
        <v>353</v>
      </c>
      <c r="C8" s="17">
        <v>1</v>
      </c>
      <c r="D8" s="17">
        <v>3</v>
      </c>
      <c r="E8" s="17">
        <v>145</v>
      </c>
      <c r="F8" s="9" t="s">
        <v>40</v>
      </c>
      <c r="G8" s="9"/>
      <c r="H8" s="9"/>
      <c r="I8" s="9"/>
      <c r="J8" s="9" t="s">
        <v>40</v>
      </c>
      <c r="K8" s="10"/>
    </row>
    <row r="9" spans="1:11">
      <c r="A9" s="29">
        <v>8</v>
      </c>
      <c r="B9" s="32" t="s">
        <v>1381</v>
      </c>
      <c r="C9" s="17">
        <v>0</v>
      </c>
      <c r="D9" s="17">
        <v>0</v>
      </c>
      <c r="E9" s="17">
        <v>0</v>
      </c>
      <c r="F9" s="9" t="s">
        <v>1379</v>
      </c>
      <c r="G9" s="9"/>
      <c r="H9" s="9"/>
      <c r="I9" s="9"/>
      <c r="J9" s="9" t="s">
        <v>1380</v>
      </c>
      <c r="K9" s="10"/>
    </row>
    <row r="10" spans="1:11">
      <c r="A10" s="29">
        <v>9</v>
      </c>
      <c r="B10" s="32" t="s">
        <v>357</v>
      </c>
      <c r="C10" s="17">
        <v>3</v>
      </c>
      <c r="D10" s="17">
        <v>6</v>
      </c>
      <c r="E10" s="17">
        <v>7</v>
      </c>
      <c r="F10" s="9" t="s">
        <v>40</v>
      </c>
      <c r="G10" s="9"/>
      <c r="H10" s="9"/>
      <c r="I10" s="9"/>
      <c r="J10" s="9" t="s">
        <v>40</v>
      </c>
      <c r="K10" s="10"/>
    </row>
    <row r="11" spans="1:11">
      <c r="A11" s="29">
        <v>10</v>
      </c>
      <c r="B11" s="32" t="s">
        <v>369</v>
      </c>
      <c r="C11" s="17">
        <v>10</v>
      </c>
      <c r="D11" s="17">
        <v>25</v>
      </c>
      <c r="E11" s="17">
        <v>34</v>
      </c>
      <c r="F11" s="9" t="s">
        <v>40</v>
      </c>
      <c r="G11" s="9"/>
      <c r="H11" s="9"/>
      <c r="I11" s="9"/>
      <c r="J11" s="9" t="s">
        <v>40</v>
      </c>
      <c r="K11" s="10"/>
    </row>
    <row r="12" spans="1:11">
      <c r="A12" s="29">
        <v>11</v>
      </c>
      <c r="B12" s="32" t="s">
        <v>416</v>
      </c>
      <c r="C12" s="17">
        <v>5</v>
      </c>
      <c r="D12" s="17">
        <v>7</v>
      </c>
      <c r="E12" s="17">
        <v>19</v>
      </c>
      <c r="F12" s="9" t="s">
        <v>40</v>
      </c>
      <c r="G12" s="9"/>
      <c r="H12" s="9"/>
      <c r="I12" s="9"/>
      <c r="J12" s="9" t="s">
        <v>40</v>
      </c>
      <c r="K12" s="10"/>
    </row>
    <row r="13" spans="1:11">
      <c r="A13" s="29">
        <v>12</v>
      </c>
      <c r="B13" s="32" t="s">
        <v>436</v>
      </c>
      <c r="C13" s="17">
        <v>27</v>
      </c>
      <c r="D13" s="17">
        <v>41</v>
      </c>
      <c r="E13" s="17">
        <v>54</v>
      </c>
      <c r="F13" s="9" t="s">
        <v>40</v>
      </c>
      <c r="G13" s="9"/>
      <c r="H13" s="9"/>
      <c r="I13" s="9"/>
      <c r="J13" s="9" t="s">
        <v>40</v>
      </c>
      <c r="K13" s="10"/>
    </row>
    <row r="14" spans="1:11">
      <c r="A14" s="29">
        <v>13</v>
      </c>
      <c r="B14" s="32" t="s">
        <v>1382</v>
      </c>
      <c r="C14" s="17">
        <v>0</v>
      </c>
      <c r="D14" s="17">
        <v>0</v>
      </c>
      <c r="E14" s="17">
        <v>0</v>
      </c>
      <c r="F14" s="9" t="s">
        <v>1379</v>
      </c>
      <c r="G14" s="9"/>
      <c r="H14" s="9"/>
      <c r="I14" s="9"/>
      <c r="J14" s="9" t="s">
        <v>1380</v>
      </c>
      <c r="K14" s="10"/>
    </row>
    <row r="15" spans="1:11">
      <c r="A15" s="29">
        <v>14</v>
      </c>
      <c r="B15" s="32" t="s">
        <v>533</v>
      </c>
      <c r="C15" s="17">
        <v>2</v>
      </c>
      <c r="D15" s="17">
        <v>2</v>
      </c>
      <c r="E15" s="17">
        <v>3</v>
      </c>
      <c r="F15" s="9" t="s">
        <v>40</v>
      </c>
      <c r="G15" s="9"/>
      <c r="H15" s="9"/>
      <c r="I15" s="9"/>
      <c r="J15" s="9" t="s">
        <v>40</v>
      </c>
      <c r="K15" s="10"/>
    </row>
    <row r="16" spans="1:11">
      <c r="A16" s="29">
        <v>15</v>
      </c>
      <c r="B16" s="32" t="s">
        <v>542</v>
      </c>
      <c r="C16" s="17">
        <v>9</v>
      </c>
      <c r="D16" s="17">
        <v>40</v>
      </c>
      <c r="E16" s="17">
        <v>42</v>
      </c>
      <c r="F16" s="9" t="s">
        <v>40</v>
      </c>
      <c r="G16" s="9"/>
      <c r="H16" s="9"/>
      <c r="I16" s="9"/>
      <c r="J16" s="9" t="s">
        <v>40</v>
      </c>
      <c r="K16" s="10"/>
    </row>
    <row r="17" spans="1:11">
      <c r="A17" s="29">
        <v>16</v>
      </c>
      <c r="B17" s="32" t="s">
        <v>1383</v>
      </c>
      <c r="C17" s="17">
        <v>0</v>
      </c>
      <c r="D17" s="17">
        <v>0</v>
      </c>
      <c r="E17" s="17">
        <v>0</v>
      </c>
      <c r="F17" s="9" t="s">
        <v>1379</v>
      </c>
      <c r="G17" s="9"/>
      <c r="H17" s="9"/>
      <c r="I17" s="9"/>
      <c r="J17" s="9" t="s">
        <v>1380</v>
      </c>
      <c r="K17" s="10"/>
    </row>
    <row r="18" spans="1:11">
      <c r="A18" s="29">
        <v>17</v>
      </c>
      <c r="B18" s="32" t="s">
        <v>582</v>
      </c>
      <c r="C18" s="17">
        <v>3</v>
      </c>
      <c r="D18" s="17">
        <v>4</v>
      </c>
      <c r="E18" s="17">
        <v>5</v>
      </c>
      <c r="F18" s="9" t="s">
        <v>40</v>
      </c>
      <c r="G18" s="9"/>
      <c r="H18" s="9"/>
      <c r="I18" s="9"/>
      <c r="J18" s="9" t="s">
        <v>40</v>
      </c>
      <c r="K18" s="10"/>
    </row>
    <row r="19" spans="1:11">
      <c r="A19" s="29">
        <v>18</v>
      </c>
      <c r="B19" s="32" t="s">
        <v>595</v>
      </c>
      <c r="C19" s="17">
        <v>1</v>
      </c>
      <c r="D19" s="17">
        <v>4</v>
      </c>
      <c r="E19" s="17">
        <v>5</v>
      </c>
      <c r="F19" s="9" t="s">
        <v>40</v>
      </c>
      <c r="G19" s="9"/>
      <c r="H19" s="9"/>
      <c r="I19" s="9"/>
      <c r="J19" s="9" t="s">
        <v>40</v>
      </c>
      <c r="K19" s="10"/>
    </row>
    <row r="20" spans="1:11">
      <c r="A20" s="29">
        <v>19</v>
      </c>
      <c r="B20" s="32" t="s">
        <v>1384</v>
      </c>
      <c r="C20" s="17">
        <v>0</v>
      </c>
      <c r="D20" s="17">
        <v>0</v>
      </c>
      <c r="E20" s="17">
        <v>0</v>
      </c>
      <c r="F20" s="9" t="s">
        <v>1379</v>
      </c>
      <c r="G20" s="9"/>
      <c r="H20" s="9"/>
      <c r="I20" s="9"/>
      <c r="J20" s="9" t="s">
        <v>1380</v>
      </c>
      <c r="K20" s="10"/>
    </row>
    <row r="21" spans="1:11">
      <c r="A21" s="29">
        <v>20</v>
      </c>
      <c r="B21" s="32" t="s">
        <v>1385</v>
      </c>
      <c r="C21" s="17">
        <v>0</v>
      </c>
      <c r="D21" s="17">
        <v>0</v>
      </c>
      <c r="E21" s="17">
        <v>0</v>
      </c>
      <c r="F21" s="9" t="s">
        <v>1379</v>
      </c>
      <c r="G21" s="9"/>
      <c r="H21" s="9"/>
      <c r="I21" s="9"/>
      <c r="J21" s="9" t="s">
        <v>1380</v>
      </c>
      <c r="K21" s="10"/>
    </row>
    <row r="22" spans="1:11">
      <c r="A22" s="29">
        <v>21</v>
      </c>
      <c r="B22" s="32" t="s">
        <v>600</v>
      </c>
      <c r="C22" s="17">
        <v>15</v>
      </c>
      <c r="D22" s="17">
        <v>15</v>
      </c>
      <c r="E22" s="17">
        <v>15</v>
      </c>
      <c r="F22" s="9" t="s">
        <v>40</v>
      </c>
      <c r="G22" s="9"/>
      <c r="H22" s="9"/>
      <c r="I22" s="9"/>
      <c r="J22" s="9" t="s">
        <v>40</v>
      </c>
      <c r="K22" s="10"/>
    </row>
    <row r="23" spans="1:11">
      <c r="A23" s="30">
        <v>22</v>
      </c>
      <c r="B23" s="33" t="s">
        <v>652</v>
      </c>
      <c r="C23" s="18">
        <v>7</v>
      </c>
      <c r="D23" s="18">
        <v>15</v>
      </c>
      <c r="E23" s="18">
        <v>15</v>
      </c>
      <c r="F23" s="11" t="s">
        <v>40</v>
      </c>
      <c r="G23" s="11"/>
      <c r="H23" s="11"/>
      <c r="I23" s="11"/>
      <c r="J23" s="11" t="s">
        <v>40</v>
      </c>
      <c r="K23" s="12"/>
    </row>
  </sheetData>
  <dataValidations count="1">
    <dataValidation type="list" sqref="J2:J23" xr:uid="{00000000-0002-0000-0200-000000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PRODUK_MASTER</vt:lpstr>
      <vt:lpstr>VARIAN_STOK</vt:lpstr>
      <vt:lpstr>BRAND_MASTER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2026-07-28T11:33:32Z</dcterms:created>
  <dcterms:modified xsi:type="dcterms:W3CDTF">2026-07-28T11:33:32Z</dcterms:modified>
</cp:coreProperties>
</file>